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1904a5d6b64fef" /></Relationships>
</file>

<file path=xl/workbook.xml><?xml version="1.0" encoding="utf-8"?>
<x:workbook xmlns:x="http://schemas.openxmlformats.org/spreadsheetml/2006/main">
  <x:sheets>
    <x:sheet xmlns:r="http://schemas.openxmlformats.org/officeDocument/2006/relationships" name="项目总表" sheetId="1" r:id="R080707031d3c481e"/>
    <x:sheet xmlns:r="http://schemas.openxmlformats.org/officeDocument/2006/relationships" name="任务与甘特" sheetId="2" r:id="Rca938fb9ad454ed2"/>
    <x:sheet xmlns:r="http://schemas.openxmlformats.org/officeDocument/2006/relationships" name="资源计划" sheetId="3" r:id="R1a6c1dc13bd7489b"/>
    <x:sheet xmlns:r="http://schemas.openxmlformats.org/officeDocument/2006/relationships" name="成本预算" sheetId="4" r:id="Rce1153716ef248e8"/>
    <x:sheet xmlns:r="http://schemas.openxmlformats.org/officeDocument/2006/relationships" name="质量与变更" sheetId="5" r:id="R74a953418367483b"/>
    <x:sheet xmlns:r="http://schemas.openxmlformats.org/officeDocument/2006/relationships" name="日期甘特" sheetId="6" r:id="R0f567543554d4aa4"/>
  </x:sheets>
</x:workbook>
</file>

<file path=xl/sharedStrings.xml><?xml version="1.0" encoding="utf-8"?>
<x:sst xmlns:x="http://schemas.openxmlformats.org/spreadsheetml/2006/main"/>
</file>

<file path=xl/styles.xml><?xml version="1.0" encoding="utf-8"?>
<x:styleSheet xmlns:x="http://schemas.openxmlformats.org/spreadsheetml/2006/main">
  <x:numFmts count="9">
    <x:numFmt numFmtId="200" formatCode="yyyy-mm-dd"/>
    <x:numFmt numFmtId="201" formatCode="#,##0.00"/>
    <x:numFmt numFmtId="202" formatCode="@"/>
    <x:numFmt numFmtId="203" formatCode="&quot;W&quot;0"/>
    <x:numFmt numFmtId="204" formatCode="0.0"/>
    <x:numFmt numFmtId="205" formatCode="0.0%"/>
    <x:numFmt numFmtId="206" formatCode="0.00"/>
    <x:numFmt numFmtId="207" formatCode="0"/>
    <x:numFmt numFmtId="208" formatCode="m/d"/>
  </x:numFmts>
  <x:fonts count="10">
    <x:font>
      <x:sz val="11"/>
      <x:name val="Carlito"/>
    </x:font>
    <x:font>
      <x:sz val="11"/>
      <x:color rgb="FF111111"/>
      <x:name val="SimSun"/>
    </x:font>
    <x:font>
      <x:b/>
      <x:sz val="16"/>
      <x:color rgb="FF111111"/>
      <x:name val="SimSun"/>
    </x:font>
    <x:font>
      <x:i/>
      <x:sz val="11"/>
      <x:color rgb="FF111111"/>
      <x:name val="SimSun"/>
    </x:font>
    <x:font>
      <x:b/>
      <x:sz val="11"/>
      <x:color rgb="FF111111"/>
      <x:name val="SimSun"/>
    </x:font>
    <x:font>
      <x:b/>
      <x:i/>
      <x:sz val="11"/>
      <x:color rgb="FF111111"/>
      <x:name val="SimSun"/>
    </x:font>
    <x:font>
      <x:sz val="10.5"/>
      <x:color rgb="FF111111"/>
      <x:name val="SimSun"/>
    </x:font>
    <x:font>
      <x:b/>
      <x:sz val="10.5"/>
      <x:color rgb="FF111111"/>
      <x:name val="SimSun"/>
    </x:font>
    <x:font>
      <x:sz val="10.5"/>
      <x:color rgb="FF111111"/>
      <x:name val="SimSun"/>
    </x:font>
    <x:font>
      <x:sz val="10.5"/>
      <x:color rgb="FF111111"/>
      <x:name val="SimSun"/>
    </x:font>
  </x:fonts>
  <x:fills count="6">
    <x:fill>
      <x:patternFill patternType="none"/>
    </x:fill>
    <x:fill>
      <x:patternFill patternType="gray125"/>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2">
    <x:border>
      <x:left/>
      <x:right/>
      <x:top/>
      <x:bottom/>
      <x:diagonal/>
    </x:border>
    <x:border>
      <x:left style="thin">
        <x:color rgb="FF222222"/>
      </x:left>
      <x:right style="thin">
        <x:color rgb="FF222222"/>
      </x:right>
      <x:top style="thin">
        <x:color rgb="FF222222"/>
      </x:top>
      <x:bottom style="thin">
        <x:color rgb="FF222222"/>
      </x:bottom>
      <x:diagonal/>
    </x:border>
  </x:borders>
  <x:cellStyleXfs count="1">
    <x:xf numFmtId="0" fontId="0" fillId="0" borderId="0"/>
  </x:cellStyleXfs>
  <x:cellXfs count="9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0"/>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0"/>
    </x:xf>
    <x:xf numFmtId="0" fontId="1" fillId="2" borderId="1"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4" fillId="2" borderId="1" xfId="0" applyNumberFormat="1" applyFont="1" applyFill="1" applyBorder="1" applyAlignment="1">
      <x:alignment horizontal="center" vertical="center" wrapText="1"/>
    </x:xf>
    <x:xf numFmtId="200" fontId="1" fillId="2" borderId="1"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1" fontId="3" fillId="2" borderId="1" xfId="0" applyNumberFormat="1" applyFont="1" applyFill="1" applyBorder="1" applyAlignment="1">
      <x:alignment vertical="center" wrapText="1"/>
    </x:xf>
    <x:xf numFmtId="200" fontId="3" fillId="2" borderId="1" xfId="0" applyNumberFormat="1" applyFont="1" applyFill="1" applyBorder="1" applyAlignment="1">
      <x:alignment vertical="center" wrapText="1"/>
    </x:xf>
    <x:xf numFmtId="202" fontId="1" fillId="2" borderId="1" xfId="0" applyNumberFormat="1" applyFont="1" applyFill="1" applyBorder="1" applyAlignment="1">
      <x:alignment vertical="center" wrapText="1"/>
    </x:xf>
    <x:xf numFmtId="0" fontId="1" fillId="2" borderId="1" xfId="0" applyNumberFormat="1" applyFont="1" applyFill="1" applyBorder="1" applyAlignment="1">
      <x:alignment horizontal="center" vertical="center" wrapText="1"/>
    </x:xf>
    <x:xf numFmtId="203" fontId="4" fillId="2" borderId="1" xfId="0" applyNumberFormat="1" applyFont="1" applyFill="1" applyBorder="1" applyAlignment="1">
      <x:alignment horizontal="center" vertical="center" wrapText="1"/>
    </x:xf>
    <x:xf numFmtId="204" fontId="1" fillId="2" borderId="1" xfId="0" applyNumberFormat="1" applyFont="1" applyFill="1" applyBorder="1" applyAlignment="1">
      <x:alignment vertical="center" wrapText="1"/>
    </x:xf>
    <x:xf numFmtId="201" fontId="1" fillId="2" borderId="1"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vertical="center" wrapText="0"/>
    </x:xf>
    <x:xf numFmtId="0" fontId="1" fillId="2" borderId="0" xfId="0" applyNumberFormat="1" applyFont="1" applyFill="1" applyBorder="1" applyAlignment="1">
      <x:alignment vertical="center" wrapText="0"/>
    </x:xf>
    <x:xf numFmtId="201" fontId="1" fillId="2" borderId="0" xfId="0" applyNumberFormat="1" applyFont="1" applyFill="1" applyBorder="1" applyAlignment="1">
      <x:alignment vertical="center" wrapText="1"/>
    </x:xf>
    <x:xf numFmtId="201" fontId="4" fillId="2"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6" fillId="3" borderId="0" xfId="0" applyNumberFormat="1" applyFont="1" applyFill="1" applyBorder="1" applyAlignment="1">
      <x:alignment vertical="center" wrapText="1"/>
    </x:xf>
    <x:xf numFmtId="0" fontId="6" fillId="3" borderId="1" xfId="0" applyNumberFormat="1" applyFont="1" applyFill="1" applyBorder="1" applyAlignment="1">
      <x:alignment vertical="center" wrapText="1"/>
    </x:xf>
    <x:xf numFmtId="0" fontId="7" fillId="3" borderId="1" xfId="0" applyNumberFormat="1" applyFont="1" applyFill="1" applyBorder="1" applyAlignment="1">
      <x:alignment vertical="center" wrapText="1"/>
    </x:xf>
    <x:xf numFmtId="0" fontId="7" fillId="3" borderId="1" xfId="0" applyNumberFormat="1" applyFont="1" applyFill="1" applyBorder="1" applyAlignment="1">
      <x:alignment horizontal="center" vertical="center" wrapText="1"/>
    </x:xf>
    <x:xf numFmtId="205" fontId="6" fillId="3" borderId="1" xfId="0" applyNumberFormat="1" applyFont="1" applyFill="1" applyBorder="1" applyAlignment="1">
      <x:alignment vertical="center" wrapText="1"/>
    </x:xf>
    <x:xf numFmtId="206" fontId="6" fillId="3" borderId="1" xfId="0" applyNumberFormat="1" applyFont="1" applyFill="1" applyBorder="1" applyAlignment="1">
      <x:alignment vertical="center" wrapText="1"/>
    </x:xf>
    <x:xf numFmtId="201" fontId="6" fillId="3" borderId="1" xfId="0" applyNumberFormat="1" applyFont="1" applyFill="1" applyBorder="1" applyAlignment="1">
      <x:alignment vertical="center" wrapText="1"/>
    </x:xf>
    <x:xf numFmtId="0" fontId="7" fillId="2" borderId="0" xfId="0" applyNumberFormat="1" applyFont="1" applyFill="1" applyBorder="1" applyAlignment="1">
      <x:alignment vertical="center" wrapText="1"/>
    </x:xf>
    <x:xf numFmtId="0" fontId="0" fillId="0" borderId="0" xfId="0" applyNumberFormat="1" applyFont="1" applyFill="1" applyBorder="1" applyAlignment="1">
      <x:alignment wrapText="0"/>
    </x:xf>
    <x:xf numFmtId="0" fontId="0" fillId="3" borderId="0" xfId="0" applyNumberFormat="1" applyFont="1" applyFill="1" applyBorder="1"/>
    <x:xf numFmtId="0" fontId="6" fillId="3" borderId="0" xfId="0" applyNumberFormat="1" applyFont="1" applyFill="1" applyBorder="1"/>
    <x:xf numFmtId="0" fontId="6" fillId="3" borderId="1" xfId="0" applyNumberFormat="1" applyFont="1" applyFill="1" applyBorder="1"/>
    <x:xf numFmtId="0" fontId="6" fillId="3" borderId="1" xfId="0" applyNumberFormat="1" applyFont="1" applyFill="1" applyBorder="1" applyAlignment="1">
      <x:alignment wrapText="1"/>
    </x:xf>
    <x:xf numFmtId="207" fontId="6" fillId="3" borderId="1" xfId="0" applyNumberFormat="1" applyFont="1" applyFill="1" applyBorder="1" applyAlignment="1">
      <x:alignment vertical="center" wrapText="1"/>
    </x:xf>
    <x:xf numFmtId="200" fontId="6" fillId="3" borderId="1" xfId="0" applyNumberFormat="1" applyFont="1" applyFill="1" applyBorder="1" applyAlignment="1">
      <x:alignment vertical="center" wrapText="1"/>
    </x:xf>
    <x:xf numFmtId="205" fontId="1" fillId="2" borderId="1" xfId="0" applyNumberFormat="1" applyFont="1" applyFill="1" applyBorder="1" applyAlignment="1">
      <x:alignment vertical="center" wrapText="1"/>
    </x:xf>
    <x:xf numFmtId="201" fontId="7" fillId="2" borderId="0" xfId="0" applyNumberFormat="1" applyFont="1" applyFill="1" applyBorder="1" applyAlignment="1">
      <x:alignment vertical="center" wrapText="1"/>
    </x:xf>
    <x:xf numFmtId="200" fontId="6" fillId="3" borderId="1" xfId="0" applyNumberFormat="1" applyFont="1" applyFill="1" applyBorder="1" applyAlignment="1">
      <x:alignment wrapText="1"/>
    </x:xf>
    <x:xf numFmtId="0" fontId="6"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vertical="center" wrapText="0"/>
    </x:xf>
    <x:xf numFmtId="0" fontId="6" fillId="3" borderId="0" xfId="0" applyNumberFormat="1" applyFont="1" applyFill="1" applyBorder="1" applyAlignment="1">
      <x:alignment vertical="center" wrapText="0"/>
    </x:xf>
    <x:xf numFmtId="0" fontId="6" fillId="3" borderId="0" xfId="0" applyNumberFormat="1" applyFont="1" applyFill="1" applyBorder="1" applyAlignment="1">
      <x:alignment horizontal="center" vertical="center" wrapText="1"/>
    </x:xf>
    <x:xf numFmtId="208" fontId="6" fillId="3" borderId="0" xfId="0" applyNumberFormat="1" applyFont="1" applyFill="1" applyBorder="1" applyAlignment="1">
      <x:alignment vertical="center" wrapText="1"/>
    </x:xf>
    <x:xf numFmtId="208" fontId="6" fillId="3" borderId="0" xfId="0" applyNumberFormat="1" applyFont="1" applyFill="1" applyBorder="1" applyAlignment="1">
      <x:alignment vertical="center" wrapText="0"/>
    </x:xf>
    <x:xf numFmtId="208" fontId="6" fillId="3" borderId="1" xfId="0" applyNumberFormat="1" applyFont="1" applyFill="1" applyBorder="1" applyAlignment="1">
      <x:alignment vertical="center" wrapText="0"/>
    </x:xf>
    <x:xf numFmtId="208" fontId="7" fillId="3" borderId="1" xfId="0" applyNumberFormat="1" applyFont="1" applyFill="1" applyBorder="1" applyAlignment="1">
      <x:alignment vertical="center" wrapText="0"/>
    </x:xf>
    <x:xf numFmtId="208" fontId="7" fillId="3" borderId="1" xfId="0" applyNumberFormat="1" applyFont="1" applyFill="1" applyBorder="1" applyAlignment="1">
      <x:alignment horizontal="center" vertical="center" wrapText="0"/>
    </x:xf>
    <x:xf numFmtId="0" fontId="6" fillId="3" borderId="1" xfId="0" applyNumberFormat="1" applyFont="1" applyFill="1" applyBorder="1" applyAlignment="1">
      <x:alignment horizontal="center" vertical="center" wrapText="1"/>
    </x:xf>
    <x:xf numFmtId="0" fontId="1" fillId="4" borderId="0" xfId="0" applyNumberFormat="1" applyFont="1" applyFill="1" applyBorder="1" applyAlignment="1">
      <x:alignment vertical="center" wrapText="1"/>
    </x:xf>
    <x:xf numFmtId="0" fontId="7" fillId="4" borderId="0" xfId="0" applyNumberFormat="1" applyFont="1" applyFill="1" applyBorder="1" applyAlignment="1">
      <x:alignment vertical="center" wrapText="1"/>
    </x:xf>
    <x:xf numFmtId="0" fontId="7" fillId="4" borderId="1" xfId="0" applyNumberFormat="1" applyFont="1" applyFill="1" applyBorder="1" applyAlignment="1">
      <x:alignment vertical="center" wrapText="1"/>
    </x:xf>
    <x:xf numFmtId="0" fontId="7" fillId="4" borderId="1" xfId="0" applyNumberFormat="1" applyFont="1" applyFill="1" applyBorder="1" applyAlignment="1">
      <x:alignment horizontal="left" vertical="center" wrapText="1"/>
    </x:xf>
    <x:xf numFmtId="0" fontId="8" fillId="4" borderId="0" xfId="0" applyNumberFormat="1" applyFont="1" applyFill="1" applyBorder="1" applyAlignment="1">
      <x:alignment vertical="center" wrapText="1"/>
    </x:xf>
    <x:xf numFmtId="0" fontId="8" fillId="4" borderId="1" xfId="0" applyNumberFormat="1" applyFont="1" applyFill="1" applyBorder="1" applyAlignment="1">
      <x:alignment vertical="center" wrapText="1"/>
    </x:xf>
    <x:xf numFmtId="0" fontId="8" fillId="4" borderId="1" xfId="0" applyNumberFormat="1" applyFont="1" applyFill="1" applyBorder="1" applyAlignment="1">
      <x:alignment horizontal="left" vertical="center" wrapText="1"/>
    </x:xf>
    <x:xf numFmtId="0" fontId="0" fillId="4" borderId="0" xfId="0" applyNumberFormat="1" applyFont="1" applyFill="1" applyBorder="1"/>
    <x:xf numFmtId="0" fontId="8" fillId="4" borderId="0" xfId="0" applyNumberFormat="1" applyFont="1" applyFill="1" applyBorder="1"/>
    <x:xf numFmtId="0" fontId="8" fillId="4" borderId="1" xfId="0" applyNumberFormat="1" applyFont="1" applyFill="1" applyBorder="1"/>
    <x:xf numFmtId="0" fontId="8" fillId="4" borderId="1" xfId="0" applyNumberFormat="1" applyFont="1" applyFill="1" applyBorder="1" applyAlignment="1">
      <x:alignment wrapText="1"/>
    </x:xf>
    <x:xf numFmtId="0" fontId="8" fillId="4" borderId="1" xfId="0" applyNumberFormat="1" applyFont="1" applyFill="1" applyBorder="1" applyAlignment="1">
      <x:alignment horizontal="left" wrapText="1"/>
    </x:xf>
    <x:xf numFmtId="200" fontId="8" fillId="4" borderId="1" xfId="0" applyNumberFormat="1" applyFont="1" applyFill="1" applyBorder="1" applyAlignment="1">
      <x:alignment horizontal="left" vertical="center" wrapText="1"/>
    </x:xf>
    <x:xf numFmtId="201" fontId="8" fillId="4" borderId="1" xfId="0" applyNumberFormat="1" applyFont="1" applyFill="1" applyBorder="1" applyAlignment="1">
      <x:alignment horizontal="left" vertical="center" wrapText="1"/>
    </x:xf>
    <x:xf numFmtId="206" fontId="8" fillId="4" borderId="1" xfId="0" applyNumberFormat="1" applyFont="1" applyFill="1" applyBorder="1" applyAlignment="1">
      <x:alignment horizontal="left" vertical="center" wrapText="1"/>
    </x:xf>
    <x:xf numFmtId="0" fontId="7" fillId="4" borderId="0" xfId="0" applyNumberFormat="1" applyFont="1" applyFill="1" applyBorder="1"/>
    <x:xf numFmtId="0" fontId="7" fillId="4" borderId="1" xfId="0" applyNumberFormat="1" applyFont="1" applyFill="1" applyBorder="1"/>
    <x:xf numFmtId="0" fontId="7" fillId="4" borderId="1" xfId="0" applyNumberFormat="1" applyFont="1" applyFill="1" applyBorder="1" applyAlignment="1">
      <x:alignment wrapText="1"/>
    </x:xf>
    <x:xf numFmtId="0" fontId="7" fillId="4" borderId="1" xfId="0" applyNumberFormat="1" applyFont="1" applyFill="1" applyBorder="1" applyAlignment="1">
      <x:alignment horizontal="left" wrapText="1"/>
    </x:xf>
    <x:xf numFmtId="0" fontId="1" fillId="5" borderId="0" xfId="0" applyNumberFormat="1" applyFont="1" applyFill="1" applyBorder="1" applyAlignment="1">
      <x:alignment vertical="center" wrapText="1"/>
    </x:xf>
    <x:xf numFmtId="0" fontId="9" fillId="5" borderId="0" xfId="0" applyNumberFormat="1" applyFont="1" applyFill="1" applyBorder="1" applyAlignment="1">
      <x:alignment vertical="center" wrapText="1"/>
    </x:xf>
    <x:xf numFmtId="0" fontId="9" fillId="5" borderId="1" xfId="0" applyNumberFormat="1" applyFont="1" applyFill="1" applyBorder="1" applyAlignment="1">
      <x:alignment vertical="center" wrapText="1"/>
    </x:xf>
    <x:xf numFmtId="0" fontId="9" fillId="5" borderId="1" xfId="0" applyNumberFormat="1" applyFont="1" applyFill="1" applyBorder="1" applyAlignment="1">
      <x:alignment horizontal="left" vertical="center" wrapText="1"/>
    </x:xf>
    <x:xf numFmtId="200" fontId="9" fillId="5" borderId="1" xfId="0" applyNumberFormat="1" applyFont="1" applyFill="1" applyBorder="1" applyAlignment="1">
      <x:alignment horizontal="left" vertical="center" wrapText="1"/>
    </x:xf>
    <x:xf numFmtId="0" fontId="0" fillId="5" borderId="0" xfId="0" applyNumberFormat="1" applyFont="1" applyFill="1" applyBorder="1"/>
    <x:xf numFmtId="0" fontId="7" fillId="5" borderId="0" xfId="0" applyNumberFormat="1" applyFont="1" applyFill="1" applyBorder="1"/>
    <x:xf numFmtId="0" fontId="7" fillId="5" borderId="1" xfId="0" applyNumberFormat="1" applyFont="1" applyFill="1" applyBorder="1"/>
    <x:xf numFmtId="0" fontId="7" fillId="5" borderId="1" xfId="0" applyNumberFormat="1" applyFont="1" applyFill="1" applyBorder="1" applyAlignment="1">
      <x:alignment wrapText="1"/>
    </x:xf>
    <x:xf numFmtId="0" fontId="7" fillId="5" borderId="1" xfId="0" applyNumberFormat="1" applyFont="1" applyFill="1" applyBorder="1" applyAlignment="1">
      <x:alignment horizontal="left" wrapText="1"/>
    </x:xf>
    <x:xf numFmtId="0" fontId="7" fillId="5" borderId="1" xfId="0" applyNumberFormat="1" applyFont="1" applyFill="1" applyBorder="1" applyAlignment="1">
      <x:alignment horizontal="left" vertical="center" wrapText="1"/>
    </x:xf>
    <x:xf numFmtId="0" fontId="9" fillId="5" borderId="0" xfId="0" applyNumberFormat="1" applyFont="1" applyFill="1" applyBorder="1"/>
    <x:xf numFmtId="0" fontId="9" fillId="5" borderId="1" xfId="0" applyNumberFormat="1" applyFont="1" applyFill="1" applyBorder="1"/>
    <x:xf numFmtId="0" fontId="9" fillId="5" borderId="1" xfId="0" applyNumberFormat="1" applyFont="1" applyFill="1" applyBorder="1" applyAlignment="1">
      <x:alignment wrapText="1"/>
    </x:xf>
    <x:xf numFmtId="0" fontId="9" fillId="5" borderId="1" xfId="0" applyNumberFormat="1" applyFont="1" applyFill="1" applyBorder="1" applyAlignment="1">
      <x:alignment horizontal="left" wrapText="1"/>
    </x:xf>
    <x:xf numFmtId="201" fontId="9" fillId="5" borderId="1" xfId="0" applyNumberFormat="1" applyFont="1" applyFill="1" applyBorder="1" applyAlignment="1">
      <x:alignment horizontal="lef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801892f58324c7a" /><Relationship Type="http://schemas.openxmlformats.org/officeDocument/2006/relationships/theme" Target="/xl/theme/theme1.xml" Id="R796c3acd00714236" /><Relationship Type="http://schemas.openxmlformats.org/officeDocument/2006/relationships/sharedStrings" Target="/xl/sharedStrings.xml" Id="Rea63e8c048934bb2" /><Relationship Type="http://schemas.openxmlformats.org/officeDocument/2006/relationships/worksheet" Target="/xl/worksheets/sheet1.xml" Id="R080707031d3c481e" /><Relationship Type="http://schemas.openxmlformats.org/officeDocument/2006/relationships/worksheet" Target="/xl/worksheets/sheet2.xml" Id="Rca938fb9ad454ed2" /><Relationship Type="http://schemas.openxmlformats.org/officeDocument/2006/relationships/worksheet" Target="/xl/worksheets/sheet3.xml" Id="R1a6c1dc13bd7489b" /><Relationship Type="http://schemas.openxmlformats.org/officeDocument/2006/relationships/worksheet" Target="/xl/worksheets/sheet4.xml" Id="Rce1153716ef248e8" /><Relationship Type="http://schemas.openxmlformats.org/officeDocument/2006/relationships/worksheet" Target="/xl/worksheets/sheet5.xml" Id="R74a953418367483b" /><Relationship Type="http://schemas.openxmlformats.org/officeDocument/2006/relationships/worksheet" Target="/xl/worksheets/sheet6.xml" Id="R0f567543554d4aa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67.5" hidden="0" customWidth="1"/>
    <x:col min="3" max="3" width="22.5" hidden="0" customWidth="1"/>
    <x:col min="4" max="4" width="50" hidden="0" customWidth="1"/>
  </x:cols>
  <x:sheetData>
    <x:row r="1" ht="30" customHeight="1">
      <x:c r="A1" s="4"/>
      <x:c r="B1" s="4"/>
      <x:c r="C1" s="4"/>
      <x:c r="D1" s="4"/>
    </x:row>
    <x:row r="2" ht="32" customHeight="1">
      <x:c r="A2" s="6" t="str">
        <x:v>项目计划表（4人8周仿真，V1.2）</x:v>
      </x:c>
      <x:c r="B2" s="4"/>
      <x:c r="C2" s="4"/>
      <x:c r="D2" s="4"/>
    </x:row>
    <x:row r="3" ht="30" customHeight="1">
      <x:c r="A3" s="4"/>
      <x:c r="B3" s="4"/>
      <x:c r="C3" s="4"/>
      <x:c r="D3" s="4"/>
    </x:row>
    <x:row r="4" ht="30" customHeight="1">
      <x:c r="A4" s="8" t="str">
        <x:v>本计划采用4人、8周的模拟项目设定，覆盖44项活动。实际执行数据在发生后记录。</x:v>
      </x:c>
      <x:c r="B4" s="4"/>
      <x:c r="C4" s="4"/>
      <x:c r="D4" s="4"/>
    </x:row>
    <x:row r="5" ht="30" customHeight="1">
      <x:c r="A5" s="4"/>
      <x:c r="B5" s="4"/>
      <x:c r="C5" s="4"/>
      <x:c r="D5" s="4"/>
    </x:row>
    <x:row r="6" ht="38" customHeight="1">
      <x:c r="A6" s="11" t="str">
        <x:v>字段</x:v>
      </x:c>
      <x:c r="B6" s="11" t="str">
        <x:v>内容</x:v>
      </x:c>
      <x:c r="C6" s="11" t="str">
        <x:v>状态</x:v>
      </x:c>
      <x:c r="D6" s="11" t="str">
        <x:v>说明/依据</x:v>
      </x:c>
    </x:row>
    <x:row r="7" ht="45" customHeight="1">
      <x:c r="A7" s="9" t="str">
        <x:v>项目名称</x:v>
      </x:c>
      <x:c r="B7" s="9" t="str">
        <x:v>云南省企业就业失业数据采集系统</x:v>
      </x:c>
      <x:c r="C7" s="9" t="str">
        <x:v>需求已知</x:v>
      </x:c>
      <x:c r="D7" s="9" t="str">
        <x:v>现有SRS V1.2项目</x:v>
      </x:c>
    </x:row>
    <x:row r="8" ht="45" customHeight="1">
      <x:c r="A8" s="9" t="str">
        <x:v>需求基线</x:v>
      </x:c>
      <x:c r="B8" s="9" t="str">
        <x:v>SRS V1.2</x:v>
      </x:c>
      <x:c r="C8" s="9" t="str">
        <x:v>需求已知</x:v>
      </x:c>
      <x:c r="D8" s="9" t="str">
        <x:v>依据SRS V1.2需求基线，覆盖FR-01～28、NFR-01～11、IF-01～04。</x:v>
      </x:c>
    </x:row>
    <x:row r="9" ht="45" customHeight="1">
      <x:c r="A9" s="9" t="str">
        <x:v>作业次数</x:v>
      </x:c>
      <x:c r="B9" s="9" t="n">
        <x:v>2</x:v>
      </x:c>
      <x:c r="C9" s="9" t="str">
        <x:v>编制信息</x:v>
      </x:c>
      <x:c r="D9" s="9" t="str">
        <x:v>项目经理负责本计划的编制、维护与提交。</x:v>
      </x:c>
    </x:row>
    <x:row r="10" ht="45" customHeight="1">
      <x:c r="A10" s="9" t="str">
        <x:v>本版编制日期</x:v>
      </x:c>
      <x:c r="B10" s="12" t="d">
        <x:v>2026-10-20T00:00:00.000Z</x:v>
      </x:c>
      <x:c r="C10" s="9" t="str">
        <x:v>已知</x:v>
      </x:c>
      <x:c r="D10" s="9" t="str">
        <x:v>本版修订日期为2026-10-20；计划开工与完成日期按既定排期执行。</x:v>
      </x:c>
    </x:row>
    <x:row r="11" ht="45" customHeight="1">
      <x:c r="A11" s="9" t="str">
        <x:v>模拟项目周期（周）</x:v>
      </x:c>
      <x:c r="B11" s="9" t="n">
        <x:v>8</x:v>
      </x:c>
      <x:c r="C11" s="9" t="str">
        <x:v>工期约束</x:v>
      </x:c>
      <x:c r="D11" s="9" t="str">
        <x:v>项目周期为8周，每周5个工作日，共40个工作日。</x:v>
      </x:c>
    </x:row>
    <x:row r="12" ht="45" customHeight="1">
      <x:c r="A12" s="9" t="str">
        <x:v>团队人数要求</x:v>
      </x:c>
      <x:c r="B12" s="9" t="str">
        <x:v>3–5人</x:v>
      </x:c>
      <x:c r="C12" s="9" t="str">
        <x:v>人员配置约束</x:v>
      </x:c>
      <x:c r="D12" s="9" t="str">
        <x:v>团队规模控制在3–5人，本计划配置4人。</x:v>
      </x:c>
    </x:row>
    <x:row r="13" ht="45" customHeight="1">
      <x:c r="A13" s="9" t="str">
        <x:v>仿真团队人数</x:v>
      </x:c>
      <x:c r="B13" s="13" t="n">
        <x:f>IF(COUNTIFS('资源计划'!A8:A12,"是")+COUNTIFS('资源计划'!A8:A12,"否")=5,COUNTIFS('资源计划'!A8:A12,"是"),"")</x:f>
        <x:v>4</x:v>
      </x:c>
      <x:c r="C13" s="9" t="str">
        <x:f>IF(ISNUMBER(B13),IF(AND(B13&gt;=3,B13&lt;=5),"团队规模符合计划约束","团队规模须为3–5人"),"待确认，留空")</x:f>
        <x:v>团队规模符合计划约束</x:v>
      </x:c>
      <x:c r="D13" s="9" t="str">
        <x:v>R01–R04明确启用，R05停用；不表示已确认真实团队成员。</x:v>
      </x:c>
    </x:row>
    <x:row r="14" ht="45" customHeight="1">
      <x:c r="A14" s="9" t="str">
        <x:v>项目经理姓名</x:v>
      </x:c>
      <x:c r="B14" s="13" t="str">
        <x:v>刘显尘（仿真项目经理）</x:v>
      </x:c>
      <x:c r="C14" s="9" t="str">
        <x:v>仿真角色</x:v>
      </x:c>
      <x:c r="D14" s="9" t="str">
        <x:v>其余成员为B/C/D三个模拟角色，团队共4人。</x:v>
      </x:c>
    </x:row>
    <x:row r="15" ht="45" customHeight="1">
      <x:c r="A15" s="9" t="str">
        <x:v>项目开始日期</x:v>
      </x:c>
      <x:c r="B15" s="15" t="d">
        <x:v>2026-10-19T00:00:00.000Z</x:v>
      </x:c>
      <x:c r="C15" s="9" t="str">
        <x:v>仿真计划</x:v>
      </x:c>
      <x:c r="D15" s="9" t="str">
        <x:v>仿真开工日；可调整并重新核验排期、负荷及Project版本。</x:v>
      </x:c>
    </x:row>
    <x:row r="16" ht="45" customHeight="1">
      <x:c r="A16" s="9" t="str">
        <x:v>项目完成日期</x:v>
      </x:c>
      <x:c r="B16" s="15" t="n">
        <x:f>WORKDAY(B15-1,B11*5)</x:f>
        <x:v>46367</x:v>
      </x:c>
      <x:c r="C16" s="9" t="str">
        <x:v>仿真计划</x:v>
      </x:c>
      <x:c r="D16" s="9" t="str">
        <x:v>8周、40工作日；最后工作日12月11日，8个自然周到12月13日。</x:v>
      </x:c>
    </x:row>
    <x:row r="17" ht="45" customHeight="1">
      <x:c r="A17" s="9" t="str">
        <x:v>计划提交截止日期</x:v>
      </x:c>
      <x:c r="B17" s="15" t="n">
        <x:f>B15+B11*7-1</x:f>
        <x:v>46369</x:v>
      </x:c>
      <x:c r="C17" s="9" t="str">
        <x:v>提交期限</x:v>
      </x:c>
      <x:c r="D17" s="9" t="str">
        <x:v>从计划开工日计算，提交截止为第8自然周末。</x:v>
      </x:c>
    </x:row>
    <x:row r="18" ht="45" customHeight="1">
      <x:c r="A18" s="9" t="str">
        <x:v>工作日及投入安排</x:v>
      </x:c>
      <x:c r="B18" s="13" t="str">
        <x:v>周一至周五，08:00–12:00、13:00–17:00，每人每天8小时</x:v>
      </x:c>
      <x:c r="C18" s="9" t="str">
        <x:v>仿真计划</x:v>
      </x:c>
      <x:c r="D18" s="9" t="str">
        <x:v>不加入真实假期或个人日程；无人员加班。</x:v>
      </x:c>
    </x:row>
    <x:row r="19" ht="45" customHeight="1">
      <x:c r="A19" s="9" t="str">
        <x:v>项目总预算（元）</x:v>
      </x:c>
      <x:c r="B19" s="14" t="n">
        <x:f>IF(ISNUMBER('成本预算'!Q23),'成本预算'!Q23,"")</x:f>
        <x:v>117537.75</x:v>
      </x:c>
      <x:c r="C19" s="9" t="str">
        <x:f>IF(ISNUMBER(B19),"仿真预算已计算", "输入未齐")</x:f>
        <x:v>仿真预算已计算</x:v>
      </x:c>
      <x:c r="D19" s="9" t="str">
        <x:v>含管理储备的授权仿真总预算；成本控制基准与储备另列。</x:v>
      </x:c>
    </x:row>
    <x:row r="20" ht="45" customHeight="1">
      <x:c r="A20" s="9" t="str">
        <x:v>关键路径及可行性</x:v>
      </x:c>
      <x:c r="B20" s="13" t="str">
        <x:v>40个工作日完成计划活动；人员每日分配投入不超过8小时。</x:v>
      </x:c>
      <x:c r="C20" s="9" t="str">
        <x:v>进度与资源平衡</x:v>
      </x:c>
      <x:c r="D20" s="9" t="str">
        <x:v>采用资源平衡后的不早于开始约束；资源或依赖变更后重新核算关键路径。</x:v>
      </x:c>
    </x:row>
    <x:row r="21" ht="45" customHeight="1">
      <x:c r="A21" s="9" t="str">
        <x:v>提交平台与格式</x:v>
      </x:c>
      <x:c r="B21" s="13"/>
      <x:c r="C21" s="9" t="str">
        <x:v>待确认，留空</x:v>
      </x:c>
      <x:c r="D21" s="9" t="str">
        <x:v>计划提交平台、文件格式及命名规则待确定。</x:v>
      </x:c>
    </x:row>
    <x:row r="22" ht="45" customHeight="1">
      <x:c r="A22" s="9" t="str">
        <x:v>计划边界</x:v>
      </x:c>
      <x:c r="B22" s="9" t="str">
        <x:v>模拟正式软件项目全过程，覆盖43项FR/NFR/IF</x:v>
      </x:c>
      <x:c r="C22" s="9" t="str">
        <x:v>规划用途</x:v>
      </x:c>
      <x:c r="D22" s="9" t="str">
        <x:v>仅制定计划；不登记为真实系统已实现、实际接入或验收通过。</x:v>
      </x:c>
    </x:row>
    <x:row r="23" ht="30" customHeight="1">
      <x:c r="A23" s="4"/>
      <x:c r="B23" s="4"/>
      <x:c r="C23" s="4"/>
      <x:c r="D23" s="4"/>
    </x:row>
    <x:row r="24" ht="30" customHeight="1">
      <x:c r="A24" s="4"/>
      <x:c r="B24" s="4"/>
      <x:c r="C24" s="4"/>
      <x:c r="D24" s="4"/>
    </x:row>
    <x:row r="25" ht="38" customHeight="1">
      <x:c r="A25" s="11" t="str">
        <x:v>计划部分</x:v>
      </x:c>
      <x:c r="B25" s="11" t="str">
        <x:v>计划安排</x:v>
      </x:c>
      <x:c r="C25" s="11" t="str">
        <x:v>对应工作表</x:v>
      </x:c>
      <x:c r="D25" s="11" t="str">
        <x:v>尚需确认的信息</x:v>
      </x:c>
    </x:row>
    <x:row r="26" ht="66" customHeight="1">
      <x:c r="A26" s="9" t="str">
        <x:v>范围</x:v>
      </x:c>
      <x:c r="B26" s="9" t="str">
        <x:v>43项FR/NFR/IF映射到44项业务活动，含真实交换、测试、培训与交付</x:v>
      </x:c>
      <x:c r="C26" s="9" t="str">
        <x:v>任务与甘特</x:v>
      </x:c>
      <x:c r="D26" s="9" t="str">
        <x:v>需求变更须评估工期、资源和费用</x:v>
      </x:c>
    </x:row>
    <x:row r="27" ht="66" customHeight="1">
      <x:c r="A27" s="9" t="str">
        <x:v>进度</x:v>
      </x:c>
      <x:c r="B27" s="9" t="str">
        <x:v>10月19日–12月11日；保留FS与必要SS并行关系，按4人逐日资源平衡</x:v>
      </x:c>
      <x:c r="C27" s="9" t="str">
        <x:v>任务与甘特/日期甘特</x:v>
      </x:c>
      <x:c r="D27" s="9" t="str">
        <x:v>日期为仿真，参数修改后重新核验依赖和Project</x:v>
      </x:c>
    </x:row>
    <x:row r="28" ht="72" customHeight="1">
      <x:c r="A28" s="9" t="str">
        <x:v>资源</x:v>
      </x:c>
      <x:c r="B28" s="9" t="str">
        <x:v>4人原有分工及投入不变；44项活动明确责任、参与和非作者交叉复核安排。</x:v>
      </x:c>
      <x:c r="C28" s="9" t="str">
        <x:v>资源计划</x:v>
      </x:c>
      <x:c r="D28" s="9" t="str">
        <x:v>实际成员及外部发起人未确认；不将兼岗复核称为独立质量部门。</x:v>
      </x:c>
    </x:row>
    <x:row r="29" ht="66" customHeight="1">
      <x:c r="A29" s="9" t="str">
        <x:v>成本估算</x:v>
      </x:c>
      <x:c r="B29" s="9" t="str">
        <x:v>按WBS活动分资源人时×仿真费率自下而上汇总，非人工与间接费用分项估算。</x:v>
      </x:c>
      <x:c r="C29" s="9" t="str">
        <x:v>成本预算</x:v>
      </x:c>
      <x:c r="D29" s="9" t="str">
        <x:v>依据、方法和假设可追溯；不确定项逐轮复核，未确认参数留空。</x:v>
      </x:c>
    </x:row>
    <x:row r="30" ht="66" customHeight="1">
      <x:c r="A30" s="9" t="str">
        <x:v>成本预算</x:v>
      </x:c>
      <x:c r="B30" s="9" t="str">
        <x:v>W1–W8分周成本基准；10%管理储备单列；已识别风险应急储备尚未单列。</x:v>
      </x:c>
      <x:c r="C30" s="9" t="str">
        <x:v>成本预算</x:v>
      </x:c>
      <x:c r="D30" s="9" t="str">
        <x:v>基准、储备与实际支出分别管理；储备调整须办理基线变更。</x:v>
      </x:c>
    </x:row>
    <x:row r="31" ht="72" customHeight="1">
      <x:c r="A31" s="9" t="str">
        <x:v>质量</x:v>
      </x:c>
      <x:c r="B31" s="9" t="str">
        <x:v>保留16项产品质量标准，补充8项全过程质量活动、6项度量口径和缺陷闭环。</x:v>
      </x:c>
      <x:c r="C31" s="9" t="str">
        <x:v>质量与变更</x:v>
      </x:c>
      <x:c r="D31" s="9" t="str">
        <x:v>实际审计、测试、复测、支出及验收结论在发生后登记。</x:v>
      </x:c>
    </x:row>
    <x:row r="32" ht="72" customHeight="1">
      <x:c r="A32" s="9" t="str">
        <x:v>迭代</x:v>
      </x:c>
      <x:c r="B32" s="9" t="str">
        <x:v>W1–W8每周复核质量、估算和风险；W2/W4/W6/W8保留阶段重点复核。</x:v>
      </x:c>
      <x:c r="C32" s="9" t="str">
        <x:v>质量与变更</x:v>
      </x:c>
      <x:c r="D32" s="9" t="str">
        <x:v>保留真实版本及CR；未解决问题登记责任和转入轮次，不延长本轮。</x:v>
      </x:c>
    </x:row>
    <x:row r="33" ht="66" customHeight="1">
      <x:c r="A33" s="9" t="str">
        <x:v>外部条件</x:v>
      </x:c>
      <x:c r="B33" s="9" t="str">
        <x:v>假设W2具备协议、端点、测试凭据和映射，REAL与最终验收排入8周</x:v>
      </x:c>
      <x:c r="C33" s="9" t="str">
        <x:v>任务与甘特</x:v>
      </x:c>
      <x:c r="D33" s="9" t="str">
        <x:v>实际未具备时须重排，不用MOCK代替真实验收</x:v>
      </x:c>
    </x:row>
    <x:row r="34" ht="30" customHeight="1">
      <x:c r="A34" s="4"/>
      <x:c r="B34" s="4"/>
      <x:c r="C34" s="4"/>
      <x:c r="D34" s="4"/>
    </x:row>
    <x:row r="35" ht="30" customHeight="1">
      <x:c r="A35" s="4"/>
      <x:c r="B35" s="4"/>
      <x:c r="C35" s="4"/>
      <x:c r="D35" s="4"/>
    </x:row>
    <x:row r="36" ht="38" customHeight="1">
      <x:c r="A36" s="11" t="str">
        <x:v>目标周次</x:v>
      </x:c>
      <x:c r="B36" s="11" t="str">
        <x:v>暂定阶段目标</x:v>
      </x:c>
      <x:c r="C36" s="11" t="str">
        <x:v>预定交付成果</x:v>
      </x:c>
      <x:c r="D36" s="11" t="str">
        <x:v>通过条件</x:v>
      </x:c>
    </x:row>
    <x:row r="37" ht="64" customHeight="1">
      <x:c r="A37" s="9" t="str">
        <x:v>W1</x:v>
      </x:c>
      <x:c r="B37" s="9" t="str">
        <x:v>需求、设计与计划骨架</x:v>
      </x:c>
      <x:c r="C37" s="9" t="str">
        <x:v>需求覆盖、架构、数据设计、测试大纲</x:v>
      </x:c>
      <x:c r="D37" s="9" t="str">
        <x:v>设计评审及范围确认，不填写实际通过</x:v>
      </x:c>
    </x:row>
    <x:row r="38" ht="64" customHeight="1">
      <x:c r="A38" s="9" t="str">
        <x:v>W2</x:v>
      </x:c>
      <x:c r="B38" s="9" t="str">
        <x:v>环境、认证与真实交换输入</x:v>
      </x:c>
      <x:c r="C38" s="9" t="str">
        <x:v>开发环境、认证基础、真实交换条件核对</x:v>
      </x:c>
      <x:c r="D38" s="9" t="str">
        <x:v>假设协议及受控测试环境已具备</x:v>
      </x:c>
    </x:row>
    <x:row r="39" ht="64" customHeight="1">
      <x:c r="A39" s="9" t="str">
        <x:v>W4</x:v>
      </x:c>
      <x:c r="B39" s="9" t="str">
        <x:v>主业务实现与统计交换</x:v>
      </x:c>
      <x:c r="C39" s="9" t="str">
        <x:v>备案、月报、审核、修订、统计、MOCK/REAL适配</x:v>
      </x:c>
      <x:c r="D39" s="9" t="str">
        <x:v>模块编码完成后进入完整集成</x:v>
      </x:c>
    </x:row>
    <x:row r="40" ht="64" customHeight="1">
      <x:c r="A40" s="9" t="str">
        <x:v>W5–6</x:v>
      </x:c>
      <x:c r="B40" s="9" t="str">
        <x:v>业务阶段评审与本地集成</x:v>
      </x:c>
      <x:c r="C40" s="9" t="str">
        <x:v>所有模块集成、性能、安全及兼容安排</x:v>
      </x:c>
      <x:c r="D40" s="9" t="str">
        <x:v>按任务依赖执行，合成数据完整可核验</x:v>
      </x:c>
    </x:row>
    <x:row r="41" ht="64" customHeight="1">
      <x:c r="A41" s="9" t="str">
        <x:v>W7</x:v>
      </x:c>
      <x:c r="B41" s="9" t="str">
        <x:v>72小时验证、功能验证和修复</x:v>
      </x:c>
      <x:c r="C41" s="9" t="str">
        <x:v>功能证据、自动运行、缺陷修复及文档</x:v>
      </x:c>
      <x:c r="D41" s="9" t="str">
        <x:v>计划覆盖不少于72自然小时，实际记录留空</x:v>
      </x:c>
    </x:row>
    <x:row r="42" ht="64" customHeight="1">
      <x:c r="A42" s="9" t="str">
        <x:v>W8</x:v>
      </x:c>
      <x:c r="B42" s="9" t="str">
        <x:v>试运行、培训、交付与定稿</x:v>
      </x:c>
      <x:c r="C42" s="9" t="str">
        <x:v>完整验收计划、交付证据包、个人项目计划</x:v>
      </x:c>
      <x:c r="D42" s="9" t="str">
        <x:v>最终验收须满足SRS验收标准，包括AC-10B真实交换验证。</x:v>
      </x:c>
    </x:row>
    <x:row r="43" ht="30" customHeight="1">
      <x:c r="A43" s="4"/>
      <x:c r="B43" s="4"/>
      <x:c r="C43" s="4"/>
      <x:c r="D43" s="4"/>
    </x:row>
    <x:row r="44" ht="30" customHeight="1">
      <x:c r="A44" s="4"/>
      <x:c r="B44" s="4"/>
      <x:c r="C44" s="4"/>
      <x:c r="D44" s="4"/>
    </x:row>
    <x:row r="45" ht="38" customHeight="1">
      <x:c r="A45" s="11" t="str">
        <x:v>计划依据/分类</x:v>
      </x:c>
      <x:c r="B45" s="11" t="str">
        <x:v>内容</x:v>
      </x:c>
      <x:c r="C45" s="11" t="str">
        <x:v>适用范围</x:v>
      </x:c>
      <x:c r="D45" s="11" t="str">
        <x:v>控制要求</x:v>
      </x:c>
    </x:row>
    <x:row r="46" ht="60" customHeight="1">
      <x:c r="A46" s="9" t="str">
        <x:v>计划约束</x:v>
      </x:c>
      <x:c r="B46" s="9" t="str">
        <x:v>周期8周；团队规模3–5人，配置4人；统一管理范围、进度、成本和质量。</x:v>
      </x:c>
      <x:c r="C46" s="9" t="str">
        <x:v>项目总表、任务与甘特、资源计划</x:v>
      </x:c>
      <x:c r="D46" s="9" t="str">
        <x:v>作为计划编制与实施的约束。</x:v>
      </x:c>
    </x:row>
    <x:row r="47" ht="60" customHeight="1">
      <x:c r="A47" s="9" t="str">
        <x:v>进度与资源管理</x:v>
      </x:c>
      <x:c r="B47" s="9" t="str">
        <x:v>依据WBS确定活动顺序和工期，统筹关键路径、人员负荷与迭代交付。</x:v>
      </x:c>
      <x:c r="C47" s="9" t="str">
        <x:v>任务与甘特、资源计划、日期甘特</x:v>
      </x:c>
      <x:c r="D47" s="9" t="str">
        <x:v>按任务依赖和资源可用容量安排。</x:v>
      </x:c>
    </x:row>
    <x:row r="48" ht="60" customHeight="1">
      <x:c r="A48" s="9" t="str">
        <x:v>成本管理规则</x:v>
      </x:c>
      <x:c r="B48" s="9" t="str">
        <x:v>估算、预算和控制形成闭环；分周成本基准与AC、EV分别记录，应急与管理储备分开管理。</x:v>
      </x:c>
      <x:c r="C48" s="9" t="str">
        <x:v>成本预算</x:v>
      </x:c>
      <x:c r="D48" s="9" t="str">
        <x:v>实际成本和完成工作预算未发生时留空；基线变化经变更流程处理。</x:v>
      </x:c>
    </x:row>
    <x:row r="49" ht="60" customHeight="1">
      <x:c r="A49" s="9" t="str">
        <x:v>项目需求</x:v>
      </x:c>
      <x:c r="B49" s="9" t="str">
        <x:v>SRS V1.2，第4–7章、第9–10章</x:v>
      </x:c>
      <x:c r="C49" s="9" t="str">
        <x:v>需求、质量、接口、技术与验收覆盖</x:v>
      </x:c>
      <x:c r="D49" s="9" t="str">
        <x:v>用于范围与质量标准</x:v>
      </x:c>
    </x:row>
    <x:row r="50" ht="72" customHeight="1">
      <x:c r="A50" s="9" t="str">
        <x:v>暂时性实施规划</x:v>
      </x:c>
      <x:c r="B50" s="9" t="str">
        <x:v>质量活动与交叉复核嵌入既有需求、设计、开发、测试及计划维护投入；逐周核对可行性。</x:v>
      </x:c>
      <x:c r="C50" s="9" t="str">
        <x:v>本版计划基线</x:v>
      </x:c>
      <x:c r="D50" s="9" t="str">
        <x:v>不额外增加任务、工时、费用或周末投入；超过现有容量时分析影响并办理CR。</x:v>
      </x:c>
    </x:row>
    <x:row r="51" ht="42" customHeight="1">
      <x:c r="A51" s="31" t="str">
        <x:v>估算参数/结果</x:v>
      </x:c>
      <x:c r="B51" s="31" t="str">
        <x:v>数值或说明</x:v>
      </x:c>
      <x:c r="C51" s="31" t="str">
        <x:v>类型</x:v>
      </x:c>
      <x:c r="D51" s="31" t="str">
        <x:v>依据或使用说明</x:v>
      </x:c>
    </x:row>
    <x:row r="52" ht="66" customHeight="1">
      <x:c r="A52" s="29" t="str">
        <x:v>计划版本</x:v>
      </x:c>
      <x:c r="B52" s="29" t="str">
        <x:v>V1.2</x:v>
      </x:c>
      <x:c r="C52" s="29" t="str">
        <x:v>CM-R4修订</x:v>
      </x:c>
      <x:c r="D52" s="29" t="str">
        <x:v>CR-004补充质量保证、成果控制、职责及质量费用口径；原参数保持一致。</x:v>
      </x:c>
    </x:row>
    <x:row r="53" ht="58" customHeight="1">
      <x:c r="A53" s="29" t="str">
        <x:v>开发投入系数</x:v>
      </x:c>
      <x:c r="B53" s="32" t="n">
        <x:v>0.5</x:v>
      </x:c>
      <x:c r="C53" s="29" t="str">
        <x:v>可编辑仿真假设</x:v>
      </x:c>
      <x:c r="D53" s="29" t="str">
        <x:v>T3开发模块基准人时乘50%；测试/评审/交付不折减。依赖成熟组件与自动化工具辅助。</x:v>
      </x:c>
    </x:row>
    <x:row r="54" ht="58" customHeight="1">
      <x:c r="A54" s="29" t="str">
        <x:v>计划总投入人时</x:v>
      </x:c>
      <x:c r="B54" s="33" t="n">
        <x:f>SUM('资源计划'!O8:O12)</x:f>
        <x:v>877</x:v>
      </x:c>
      <x:c r="C54" s="29" t="str">
        <x:v>计算</x:v>
      </x:c>
      <x:c r="D54" s="29" t="str">
        <x:v>各任务分资源人时与分周投入一致</x:v>
      </x:c>
    </x:row>
    <x:row r="55" ht="58" customHeight="1">
      <x:c r="A55" s="29" t="str">
        <x:v>每日可用小时</x:v>
      </x:c>
      <x:c r="B55" s="33" t="n">
        <x:v>8</x:v>
      </x:c>
      <x:c r="C55" s="29" t="str">
        <x:v>可编辑仿真假设</x:v>
      </x:c>
      <x:c r="D55" s="29" t="str">
        <x:v>四名成员，每周5个工作日</x:v>
      </x:c>
    </x:row>
    <x:row r="56" ht="58" customHeight="1">
      <x:c r="A56" s="29" t="str">
        <x:v>未分配容量人时</x:v>
      </x:c>
      <x:c r="B56" s="33" t="n">
        <x:f>B13*B11*5*B55-B54</x:f>
        <x:v>403</x:v>
      </x:c>
      <x:c r="C56" s="29" t="str">
        <x:v>计算</x:v>
      </x:c>
      <x:c r="D56" s="29" t="str">
        <x:v>1280人时容量减计划投入；不是额外日历缓冲</x:v>
      </x:c>
    </x:row>
    <x:row r="57" ht="58" customHeight="1">
      <x:c r="A57" s="29" t="str">
        <x:v>成本控制基准（元）</x:v>
      </x:c>
      <x:c r="B57" s="34" t="n">
        <x:f>'成本预算'!H24</x:f>
        <x:v>106852.5</x:v>
      </x:c>
      <x:c r="C57" s="29" t="str">
        <x:v>计算</x:v>
      </x:c>
      <x:c r="D57" s="29" t="str">
        <x:v>已安排人工、非人工及间接费用；独立应急储备未量化，不含管理储备。</x:v>
      </x:c>
    </x:row>
    <x:row r="58" ht="58" customHeight="1">
      <x:c r="A58" s="29" t="str">
        <x:v>管理储备比例</x:v>
      </x:c>
      <x:c r="B58" s="32" t="n">
        <x:f>'成本预算'!F21</x:f>
        <x:v>0.1</x:v>
      </x:c>
      <x:c r="C58" s="29" t="str">
        <x:v>输入在成本预算</x:v>
      </x:c>
      <x:c r="D58" s="29" t="str">
        <x:v>管理储备用于未识别风险；不直接承诺覆盖已识别的RK01–RK05。</x:v>
      </x:c>
    </x:row>
    <x:row r="59" ht="58" customHeight="1">
      <x:c r="A59" s="29" t="str">
        <x:v>管理储备（元）</x:v>
      </x:c>
      <x:c r="B59" s="34" t="n">
        <x:f>'成本预算'!H21</x:f>
        <x:v>10685.25</x:v>
      </x:c>
      <x:c r="C59" s="29" t="str">
        <x:v>计算</x:v>
      </x:c>
      <x:c r="D59" s="29" t="str">
        <x:v>保留基准10%的模拟额度；启用或重分类先评估影响并办理变更。</x:v>
      </x:c>
    </x:row>
    <x:row r="60" ht="58" customHeight="1">
      <x:c r="A60" s="29" t="str">
        <x:v>含储备总预算（元）</x:v>
      </x:c>
      <x:c r="B60" s="34" t="n">
        <x:f>'成本预算'!Q23</x:f>
        <x:v>117537.75</x:v>
      </x:c>
      <x:c r="C60" s="29" t="str">
        <x:v>计算</x:v>
      </x:c>
      <x:c r="D60" s="29" t="str">
        <x:v>成本控制基准加管理储备</x:v>
      </x:c>
    </x:row>
    <x:row r="61" ht="58" customHeight="1">
      <x:c r="A61" s="29" t="str">
        <x:v>效率假设未达到时</x:v>
      </x:c>
      <x:c r="B61" s="29" t="str">
        <x:v>每周复核效率和剩余工作；影响既定参数时提出CR。</x:v>
      </x:c>
      <x:c r="C61" s="29" t="str">
        <x:v>风险条件</x:v>
      </x:c>
      <x:c r="D61" s="29" t="str">
        <x:v>先优化分工、依赖和范围优先级；不取消必要测试或降低验收标准。</x:v>
      </x:c>
    </x:row>
    <x:row r="62" ht="58" customHeight="1">
      <x:c r="A62" s="29" t="str">
        <x:v>项目完成记录</x:v>
      </x:c>
      <x:c r="B62" s="29" t="str">
        <x:v>未实际执行，留空</x:v>
      </x:c>
      <x:c r="C62" s="29" t="str">
        <x:v>数据边界</x:v>
      </x:c>
      <x:c r="D62" s="29" t="str">
        <x:v>实际工时、成本、完成率及测试结果不填成已发生</x:v>
      </x:c>
    </x:row>
    <x:row r="63" ht="30" customHeight="1">
      <x:c r="A63" s="4"/>
      <x:c r="B63" s="4"/>
      <x:c r="C63" s="4"/>
      <x:c r="D63" s="4"/>
    </x:row>
    <x:row r="64" ht="30" customHeight="1">
      <x:c r="A64" s="4"/>
      <x:c r="B64" s="4"/>
      <x:c r="C64" s="4"/>
      <x:c r="D64" s="4"/>
    </x:row>
    <x:row r="65" ht="30" customHeight="1">
      <x:c r="A65" s="35" t="str">
        <x:v>仿真假设与项目边界</x:v>
      </x:c>
      <x:c r="B65" s="4"/>
      <x:c r="C65" s="4"/>
      <x:c r="D65" s="4"/>
    </x:row>
    <x:row r="66">
      <x:c r="A66" s="36" t="str">
        <x:v>8周40工作日；周一至周五08:00–12:00、13:00–17:00；仅作仿真，不录入法定假日或真实个人日程</x:v>
      </x:c>
      <x:c r="B66" s="36"/>
      <x:c r="C66" s="36"/>
      <x:c r="D66" s="36"/>
    </x:row>
    <x:row r="67">
      <x:c r="A67" s="36" t="str">
        <x:v>人员、费率、设备与采购金额均为模拟估算，实际支出另行记录。</x:v>
      </x:c>
      <x:c r="B67" s="36"/>
      <x:c r="C67" s="36"/>
      <x:c r="D67" s="36"/>
    </x:row>
    <x:row r="68">
      <x:c r="A68" s="36" t="str">
        <x:v>既有SRS与离线原型仅复用需求和交互设计；通用组件及自动化工具辅助，不认定已有正式后端</x:v>
      </x:c>
      <x:c r="B68" s="36"/>
      <x:c r="C68" s="36"/>
      <x:c r="D68" s="36"/>
    </x:row>
    <x:row r="69">
      <x:c r="A69" s="36" t="str">
        <x:v>W2具备真实交换协议、端点、测试凭据、映射和受控合成数据条件；若实际未具备须重排，不用MOCK代替实际验收</x:v>
      </x:c>
      <x:c r="B69" s="36"/>
      <x:c r="C69" s="36"/>
      <x:c r="D69" s="36"/>
    </x:row>
    <x:row r="70">
      <x:c r="A70" s="36" t="str">
        <x:v>4工作日自动运行验证覆盖不少于72自然小时；夜间自动运行不计人员加班</x:v>
      </x:c>
      <x:c r="B70" s="36"/>
      <x:c r="C70" s="36"/>
      <x:c r="D70" s="36"/>
    </x:row>
    <x:row r="71" ht="48" customHeight="1">
      <x:c r="A71" s="36" t="str">
        <x:v>质量活动贯穿需求、设计、开发和测试，在原任务投入内开展交叉复核；W1–W8逐周复核，W2/W4/W6/W8阶段重点复核。</x:v>
      </x:c>
      <x:c r="B71" s="36"/>
      <x:c r="C71" s="36"/>
      <x:c r="D71" s="36"/>
    </x:row>
    <x:row r="72">
      <x:c r="A72" s="36" t="str">
        <x:v>直接人工费率不含一般管理分摊；管理储备10%单列，已识别风险应急储备未单列、金额待评估。</x:v>
      </x:c>
      <x:c r="B72" s="36"/>
      <x:c r="C72" s="36"/>
      <x:c r="D72" s="36"/>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0" hidden="0" customWidth="1"/>
    <x:col min="2" max="2" width="34.380001068115234" hidden="0" customWidth="1"/>
    <x:col min="3" max="3" width="21.8799991607666" hidden="0" customWidth="1"/>
    <x:col min="4" max="4" width="35" hidden="0" customWidth="1"/>
    <x:col min="5" max="5" width="8.130000114440918" hidden="0" customWidth="1"/>
    <x:col min="6" max="6" width="8.130000114440918" hidden="0" customWidth="1"/>
    <x:col min="7" max="7" width="5.75" hidden="0" customWidth="1"/>
    <x:col min="8" max="8" width="5.75" hidden="0" customWidth="1"/>
    <x:col min="9" max="9" width="5.75" hidden="0" customWidth="1"/>
    <x:col min="10" max="10" width="5.75" hidden="0" customWidth="1"/>
    <x:col min="11" max="11" width="5.75" hidden="0" customWidth="1"/>
    <x:col min="12" max="12" width="5.75" hidden="0" customWidth="1"/>
    <x:col min="13" max="13" width="5.75" hidden="0" customWidth="1"/>
    <x:col min="14" max="14" width="5.75" hidden="0" customWidth="1"/>
    <x:col min="15" max="15" width="13.75" hidden="0" customWidth="1"/>
    <x:col min="16" max="16" width="37.5" hidden="0" customWidth="1"/>
    <x:col min="17" max="17" width="11.25" hidden="0" customWidth="1"/>
    <x:col min="18" max="18" width="15" hidden="0" customWidth="1"/>
    <x:col min="19" max="19" width="13.75" hidden="0" customWidth="1"/>
    <x:col min="20" max="20" width="16.8799991607666" hidden="0" customWidth="1"/>
    <x:col min="21" max="21" width="16.8799991607666" hidden="0" customWidth="1"/>
    <x:col min="22" max="22" width="22.5" hidden="0" customWidth="1"/>
    <x:col min="23" max="23" width="70" hidden="0" customWidth="1"/>
    <x:col min="24" max="24" width="13.75" hidden="0" customWidth="1"/>
    <x:col min="25" max="25" width="11.25" hidden="0" customWidth="1"/>
    <x:col min="26" max="26" width="11.25" hidden="0" customWidth="1"/>
    <x:col min="27" max="27" width="11.25" hidden="0" customWidth="1"/>
    <x:col min="28" max="28" width="11.25" hidden="0" customWidth="1"/>
    <x:col min="29" max="29" width="18.75" hidden="0" customWidth="1"/>
    <x:col min="30" max="30" width="10" hidden="0" customWidth="1"/>
    <x:col min="31" max="31" width="70" hidden="0" customWidth="1"/>
    <x:col min="32" max="32" width="15" hidden="0" customWidth="1"/>
    <x:col min="33" max="33" width="20" hidden="0" customWidth="1"/>
    <x:col min="34" max="34" width="15" hidden="0" customWidth="1"/>
    <x:col min="35" max="35" width="15" hidden="0" customWidth="1"/>
    <x:col min="36" max="36" width="15" hidden="0" customWidth="1"/>
    <x:col min="37" max="37" width="15" hidden="0" customWidth="1"/>
    <x:col min="38" max="38" width="17.5" hidden="0" customWidth="1"/>
    <x:col min="39" max="39" width="17.5" hidden="0" customWidth="1"/>
    <x:col min="40" max="40" width="17.5" hidden="0" customWidth="1"/>
    <x:col min="41" max="41" width="17.5" hidden="0" customWidth="1"/>
    <x:col min="42" max="42" width="17.5" hidden="0" customWidth="1"/>
  </x:cols>
  <x:sheetData>
    <x:row r="1" ht="30" customHeight="1">
      <x:c r="A1" s="4"/>
      <x:c r="B1" s="4"/>
      <x:c r="C1" s="4"/>
      <x:c r="D1" s="4"/>
      <x:c r="E1" s="4"/>
      <x:c r="F1" s="4"/>
      <x:c r="G1" s="4"/>
      <x:c r="H1" s="4"/>
      <x:c r="I1" s="4"/>
      <x:c r="J1" s="4"/>
      <x:c r="K1" s="4"/>
      <x:c r="L1" s="4"/>
      <x:c r="M1" s="4"/>
      <x:c r="N1" s="4"/>
      <x:c r="O1" s="4"/>
      <x:c r="P1" s="4"/>
      <x:c r="Q1" s="4"/>
      <x:c r="R1" s="4"/>
      <x:c r="S1" s="4"/>
      <x:c r="T1" s="4"/>
      <x:c r="U1" s="4"/>
      <x:c r="V1" s="4"/>
      <x:c r="W1" s="4"/>
      <x:c r="X1" s="4"/>
    </x:row>
    <x:row r="2" ht="32" customHeight="1">
      <x:c r="A2" s="6" t="str">
        <x:v>任务与周次甘特（4人8周仿真）</x:v>
      </x:c>
      <x:c r="B2" s="4"/>
      <x:c r="C2" s="4"/>
      <x:c r="D2" s="4"/>
      <x:c r="E2" s="4"/>
      <x:c r="F2" s="4"/>
      <x:c r="G2" s="4"/>
      <x:c r="H2" s="4"/>
      <x:c r="I2" s="4"/>
      <x:c r="J2" s="4"/>
      <x:c r="K2" s="4"/>
      <x:c r="L2" s="4"/>
      <x:c r="M2" s="4"/>
      <x:c r="N2" s="4"/>
      <x:c r="O2" s="4"/>
      <x:c r="P2" s="4"/>
      <x:c r="Q2" s="4"/>
      <x:c r="R2" s="4"/>
      <x:c r="S2" s="4"/>
      <x:c r="T2" s="4"/>
      <x:c r="U2" s="4"/>
      <x:c r="V2" s="4"/>
      <x:c r="W2" s="4"/>
      <x:c r="X2" s="4"/>
    </x:row>
    <x:row r="3" ht="30" customHeight="1">
      <x:c r="A3" s="8" t="str">
        <x:v>44项活动已填写仿真工期、分工、日期和成本。每日负荷≤8小时；Excel参数修改后需重新核验并同步Project。</x:v>
      </x:c>
      <x:c r="B3" s="4"/>
      <x:c r="C3" s="4"/>
      <x:c r="D3" s="4"/>
      <x:c r="E3" s="4"/>
      <x:c r="F3" s="4"/>
      <x:c r="G3" s="4"/>
      <x:c r="H3" s="4"/>
      <x:c r="I3" s="4"/>
      <x:c r="J3" s="4"/>
      <x:c r="K3" s="4"/>
      <x:c r="L3" s="4"/>
      <x:c r="M3" s="4"/>
      <x:c r="N3" s="4"/>
      <x:c r="O3" s="4"/>
      <x:c r="P3" s="4"/>
      <x:c r="Q3" s="4"/>
      <x:c r="R3" s="4"/>
      <x:c r="S3" s="4"/>
      <x:c r="T3" s="4"/>
      <x:c r="U3" s="4"/>
      <x:c r="V3" s="4"/>
      <x:c r="W3" s="4"/>
      <x:c r="X3" s="4"/>
    </x:row>
    <x:row r="4" ht="30" customHeight="1">
      <x:c r="A4" s="8" t="str">
        <x:v>FS为完成—开始，SS+1d为接口骨架具备后的重叠编码。集成/验收等待必需模块完成；关键任务及时差为本版Project计算结果。</x:v>
      </x:c>
      <x:c r="B4" s="4"/>
      <x:c r="C4" s="4"/>
      <x:c r="D4" s="4"/>
      <x:c r="E4" s="4"/>
      <x:c r="F4" s="4"/>
      <x:c r="G4" s="4"/>
      <x:c r="H4" s="4"/>
      <x:c r="I4" s="4"/>
      <x:c r="J4" s="4"/>
      <x:c r="K4" s="4"/>
      <x:c r="L4" s="4"/>
      <x:c r="M4" s="4"/>
      <x:c r="N4" s="4"/>
      <x:c r="O4" s="4"/>
      <x:c r="P4" s="4"/>
      <x:c r="Q4" s="4"/>
      <x:c r="R4" s="4"/>
      <x:c r="S4" s="4"/>
      <x:c r="T4" s="4"/>
      <x:c r="U4" s="4"/>
      <x:c r="V4" s="4"/>
      <x:c r="W4" s="4"/>
      <x:c r="X4" s="4"/>
    </x:row>
    <x:row r="5" ht="30" customHeight="1">
      <x:c r="A5" s="4"/>
      <x:c r="B5" s="4"/>
      <x:c r="C5" s="4"/>
      <x:c r="D5" s="4"/>
      <x:c r="E5" s="4"/>
      <x:c r="F5" s="4"/>
      <x:c r="G5" s="4"/>
      <x:c r="H5" s="4"/>
      <x:c r="I5" s="4"/>
      <x:c r="J5" s="4"/>
      <x:c r="K5" s="4"/>
      <x:c r="L5" s="4"/>
      <x:c r="M5" s="4"/>
      <x:c r="N5" s="4"/>
      <x:c r="O5" s="4"/>
      <x:c r="P5" s="4"/>
      <x:c r="Q5" s="4"/>
      <x:c r="R5" s="4"/>
      <x:c r="S5" s="4"/>
      <x:c r="T5" s="4"/>
      <x:c r="U5" s="4"/>
      <x:c r="V5" s="4"/>
      <x:c r="W5" s="4"/>
      <x:c r="X5" s="4"/>
    </x:row>
    <x:row r="6" ht="42" customHeight="1">
      <x:c r="A6" s="11" t="str">
        <x:v>WBS</x:v>
      </x:c>
      <x:c r="B6" s="11" t="str">
        <x:v>任务名称</x:v>
      </x:c>
      <x:c r="C6" s="11" t="str">
        <x:v>对应需求</x:v>
      </x:c>
      <x:c r="D6" s="11" t="str">
        <x:v>前置任务</x:v>
      </x:c>
      <x:c r="E6" s="11" t="str">
        <x:v>开始周</x:v>
      </x:c>
      <x:c r="F6" s="11" t="str">
        <x:v>结束周</x:v>
      </x:c>
      <x:c r="G6" s="18" t="n">
        <x:v>1</x:v>
      </x:c>
      <x:c r="H6" s="18" t="n">
        <x:v>2</x:v>
      </x:c>
      <x:c r="I6" s="18" t="n">
        <x:v>3</x:v>
      </x:c>
      <x:c r="J6" s="18" t="n">
        <x:v>4</x:v>
      </x:c>
      <x:c r="K6" s="18" t="n">
        <x:v>5</x:v>
      </x:c>
      <x:c r="L6" s="18" t="n">
        <x:v>6</x:v>
      </x:c>
      <x:c r="M6" s="18" t="n">
        <x:v>7</x:v>
      </x:c>
      <x:c r="N6" s="18" t="n">
        <x:v>8</x:v>
      </x:c>
      <x:c r="O6" s="11" t="str">
        <x:v>阶段</x:v>
      </x:c>
      <x:c r="P6" s="11" t="str">
        <x:v>预定交付物</x:v>
      </x:c>
      <x:c r="Q6" s="11" t="str">
        <x:v>工期（工作日）</x:v>
      </x:c>
      <x:c r="R6" s="11" t="str">
        <x:v>责任资源ID</x:v>
      </x:c>
      <x:c r="S6" s="11" t="str">
        <x:v>工作量（人时）</x:v>
      </x:c>
      <x:c r="T6" s="11" t="str">
        <x:v>计划开始日期</x:v>
      </x:c>
      <x:c r="U6" s="11" t="str">
        <x:v>计划结束日期</x:v>
      </x:c>
      <x:c r="V6" s="11" t="str">
        <x:v>验收依据</x:v>
      </x:c>
      <x:c r="W6" s="11" t="str">
        <x:v>仿真估算与条件</x:v>
      </x:c>
      <x:c r="X6" s="11" t="str">
        <x:v>计划状态</x:v>
      </x:c>
      <x:c r="Y6" s="31" t="str">
        <x:v>R01人时</x:v>
      </x:c>
      <x:c r="Z6" s="31" t="str">
        <x:v>R02人时</x:v>
      </x:c>
      <x:c r="AA6" s="31" t="str">
        <x:v>R03人时</x:v>
      </x:c>
      <x:c r="AB6" s="31" t="str">
        <x:v>R04人时</x:v>
      </x:c>
      <x:c r="AC6" s="31" t="str">
        <x:v>任务直接人工（元）</x:v>
      </x:c>
      <x:c r="AD6" s="31" t="str">
        <x:v>任务难度</x:v>
      </x:c>
      <x:c r="AE6" s="31" t="str">
        <x:v>估算与依赖说明</x:v>
      </x:c>
      <x:c r="AF6" s="31" t="str">
        <x:v>Project关键任务</x:v>
      </x:c>
      <x:c r="AG6" s="31" t="str">
        <x:v>Project时差（工作日）</x:v>
      </x:c>
      <x:c r="AH6" s="31" t="str">
        <x:v>R01日均人时</x:v>
      </x:c>
      <x:c r="AI6" s="31" t="str">
        <x:v>R02日均人时</x:v>
      </x:c>
      <x:c r="AJ6" s="31" t="str">
        <x:v>R03日均人时</x:v>
      </x:c>
      <x:c r="AK6" s="31" t="str">
        <x:v>R04日均人时</x:v>
      </x:c>
      <x:c r="AL6" s="31" t="str">
        <x:v>开始工作日序号</x:v>
      </x:c>
      <x:c r="AM6" s="31" t="str">
        <x:v>独立估算R01人时</x:v>
      </x:c>
      <x:c r="AN6" s="31" t="str">
        <x:v>独立估算R02人时</x:v>
      </x:c>
      <x:c r="AO6" s="31" t="str">
        <x:v>独立估算R03人时</x:v>
      </x:c>
      <x:c r="AP6" s="31" t="str">
        <x:v>独立估算R04人时</x:v>
      </x:c>
    </x:row>
    <x:row r="7" ht="72" customHeight="1">
      <x:c r="A7" s="16" t="str">
        <x:v>T1.1</x:v>
      </x:c>
      <x:c r="B7" s="16" t="str">
        <x:v>核对需求范围与覆盖</x:v>
      </x:c>
      <x:c r="C7" s="16" t="str">
        <x:v>FR-01～28, NFR-01～11, IF-01～04</x:v>
      </x:c>
      <x:c r="D7" s="16" t="str"/>
      <x:c r="E7" s="17" t="n">
        <x:f>INT((T7-'项目总表'!$B$15)/7)+1</x:f>
        <x:v>1</x:v>
      </x:c>
      <x:c r="F7" s="17" t="n">
        <x:f>INT((U7-'项目总表'!$B$15)/7)+1</x:f>
        <x:v>1</x:v>
      </x:c>
      <x:c r="G7" s="17" t="str">
        <x:f>IF(COUNT($E7:$F7)&lt;2,"",IF(AND(G$6&gt;=$E7,G$6&lt;=$F7),"■",""))</x:f>
        <x:v>■</x:v>
      </x:c>
      <x:c r="H7" s="17" t="str">
        <x:f>IF(COUNT($E7:$F7)&lt;2,"",IF(AND(H$6&gt;=$E7,H$6&lt;=$F7),"■",""))</x:f>
      </x:c>
      <x:c r="I7" s="17" t="str">
        <x:f>IF(COUNT($E7:$F7)&lt;2,"",IF(AND(I$6&gt;=$E7,I$6&lt;=$F7),"■",""))</x:f>
      </x:c>
      <x:c r="J7" s="17" t="str">
        <x:f>IF(COUNT($E7:$F7)&lt;2,"",IF(AND(J$6&gt;=$E7,J$6&lt;=$F7),"■",""))</x:f>
      </x:c>
      <x:c r="K7" s="17" t="str">
        <x:f>IF(COUNT($E7:$F7)&lt;2,"",IF(AND(K$6&gt;=$E7,K$6&lt;=$F7),"■",""))</x:f>
      </x:c>
      <x:c r="L7" s="17" t="str">
        <x:f>IF(COUNT($E7:$F7)&lt;2,"",IF(AND(L$6&gt;=$E7,L$6&lt;=$F7),"■",""))</x:f>
      </x:c>
      <x:c r="M7" s="17" t="str">
        <x:f>IF(COUNT($E7:$F7)&lt;2,"",IF(AND(M$6&gt;=$E7,M$6&lt;=$F7),"■",""))</x:f>
      </x:c>
      <x:c r="N7" s="17" t="str">
        <x:f>IF(COUNT($E7:$F7)&lt;2,"",IF(AND(N$6&gt;=$E7,N$6&lt;=$F7),"■",""))</x:f>
      </x:c>
      <x:c r="O7" s="9" t="str">
        <x:v>需求</x:v>
      </x:c>
      <x:c r="P7" s="9" t="str">
        <x:v>范围说明与需求覆盖矩阵</x:v>
      </x:c>
      <x:c r="Q7" s="19" t="n">
        <x:v>1</x:v>
      </x:c>
      <x:c r="R7" s="16" t="str">
        <x:v>R01</x:v>
      </x:c>
      <x:c r="S7" s="19" t="n">
        <x:f>SUM(Y7:AB7)</x:f>
        <x:v>20</x:v>
      </x:c>
      <x:c r="T7" s="12" t="n">
        <x:f>WORKDAY('项目总表'!$B$15-1,AL7)</x:f>
        <x:v>46314</x:v>
      </x:c>
      <x:c r="U7" s="12" t="n">
        <x:f>WORKDAY(T7-1,Q7)</x:f>
        <x:v>46314</x:v>
      </x:c>
      <x:c r="V7" s="9" t="str">
        <x:v>AC-01～14</x:v>
      </x:c>
      <x:c r="W7" s="9" t="str">
        <x:v>已有SRS逐条确认43项需求、范围和验收映射，四人并行核对</x:v>
      </x:c>
      <x:c r="X7" s="9" t="str">
        <x:v>仿真计划，未执行</x:v>
      </x:c>
      <x:c r="Y7" s="34" t="n">
        <x:f>AM7</x:f>
        <x:v>8</x:v>
      </x:c>
      <x:c r="Z7" s="34" t="n">
        <x:f>AN7</x:f>
        <x:v>4</x:v>
      </x:c>
      <x:c r="AA7" s="34" t="n">
        <x:f>AO7</x:f>
        <x:v>4</x:v>
      </x:c>
      <x:c r="AB7" s="34" t="n">
        <x:f>AP7</x:f>
        <x:v>4</x:v>
      </x:c>
      <x:c r="AC7" s="34" t="n">
        <x:f>Y7*'资源计划'!$F$8+Z7*'资源计划'!$F$9+AA7*'资源计划'!$F$10+AB7*'资源计划'!$F$11</x:f>
        <x:v>2040</x:v>
      </x:c>
      <x:c r="AD7" s="29" t="str">
        <x:v>中</x:v>
      </x:c>
      <x:c r="AE7" s="29" t="str">
        <x:v>自下而上估算：按WBS活动分资源人时×仿真费率汇总；复杂度、复用条件和工作量假设逐轮复核。已有SRS逐条确认43项需求、范围和验收映射，四人并行核对</x:v>
      </x:c>
      <x:c r="AF7" s="29" t="str">
        <x:v>是</x:v>
      </x:c>
      <x:c r="AG7" s="33" t="n">
        <x:v>0</x:v>
      </x:c>
      <x:c r="AH7" s="33" t="n">
        <x:f>Y7/Q7</x:f>
        <x:v>8</x:v>
      </x:c>
      <x:c r="AI7" s="33" t="n">
        <x:f>Z7/Q7</x:f>
        <x:v>4</x:v>
      </x:c>
      <x:c r="AJ7" s="33" t="n">
        <x:f>AA7/Q7</x:f>
        <x:v>4</x:v>
      </x:c>
      <x:c r="AK7" s="33" t="n">
        <x:f>AB7/Q7</x:f>
        <x:v>4</x:v>
      </x:c>
      <x:c r="AL7" s="41" t="n">
        <x:v>1</x:v>
      </x:c>
      <x:c r="AM7" s="33" t="n">
        <x:v>8</x:v>
      </x:c>
      <x:c r="AN7" s="33" t="n">
        <x:v>4</x:v>
      </x:c>
      <x:c r="AO7" s="33" t="n">
        <x:v>4</x:v>
      </x:c>
      <x:c r="AP7" s="33" t="n">
        <x:v>4</x:v>
      </x:c>
    </x:row>
    <x:row r="8" ht="72" customHeight="1">
      <x:c r="A8" s="16" t="str">
        <x:v>T1.2</x:v>
      </x:c>
      <x:c r="B8" s="16" t="str">
        <x:v>形成WBS与项目计划初稿</x:v>
      </x:c>
      <x:c r="C8" s="16" t="str">
        <x:v>项目管理</x:v>
      </x:c>
      <x:c r="D8" s="16" t="str">
        <x:v>T1.1FS</x:v>
      </x:c>
      <x:c r="E8" s="17" t="n">
        <x:f>INT((T8-'项目总表'!$B$15)/7)+1</x:f>
        <x:v>1</x:v>
      </x:c>
      <x:c r="F8" s="17" t="n">
        <x:f>INT((U8-'项目总表'!$B$15)/7)+1</x:f>
        <x:v>1</x:v>
      </x:c>
      <x:c r="G8" s="17" t="str">
        <x:f>IF(COUNT($E8:$F8)&lt;2,"",IF(AND(G$6&gt;=$E8,G$6&lt;=$F8),"■",""))</x:f>
        <x:v>■</x:v>
      </x:c>
      <x:c r="H8" s="17" t="str">
        <x:f>IF(COUNT($E8:$F8)&lt;2,"",IF(AND(H$6&gt;=$E8,H$6&lt;=$F8),"■",""))</x:f>
      </x:c>
      <x:c r="I8" s="17" t="str">
        <x:f>IF(COUNT($E8:$F8)&lt;2,"",IF(AND(I$6&gt;=$E8,I$6&lt;=$F8),"■",""))</x:f>
      </x:c>
      <x:c r="J8" s="17" t="str">
        <x:f>IF(COUNT($E8:$F8)&lt;2,"",IF(AND(J$6&gt;=$E8,J$6&lt;=$F8),"■",""))</x:f>
      </x:c>
      <x:c r="K8" s="17" t="str">
        <x:f>IF(COUNT($E8:$F8)&lt;2,"",IF(AND(K$6&gt;=$E8,K$6&lt;=$F8),"■",""))</x:f>
      </x:c>
      <x:c r="L8" s="17" t="str">
        <x:f>IF(COUNT($E8:$F8)&lt;2,"",IF(AND(L$6&gt;=$E8,L$6&lt;=$F8),"■",""))</x:f>
      </x:c>
      <x:c r="M8" s="17" t="str">
        <x:f>IF(COUNT($E8:$F8)&lt;2,"",IF(AND(M$6&gt;=$E8,M$6&lt;=$F8),"■",""))</x:f>
      </x:c>
      <x:c r="N8" s="17" t="str">
        <x:f>IF(COUNT($E8:$F8)&lt;2,"",IF(AND(N$6&gt;=$E8,N$6&lt;=$F8),"■",""))</x:f>
      </x:c>
      <x:c r="O8" s="9" t="str">
        <x:v>计划</x:v>
      </x:c>
      <x:c r="P8" s="9" t="str">
        <x:v>范围、进度、资源、成本、质量计划</x:v>
      </x:c>
      <x:c r="Q8" s="19" t="n">
        <x:v>2</x:v>
      </x:c>
      <x:c r="R8" s="16" t="str">
        <x:v>R01</x:v>
      </x:c>
      <x:c r="S8" s="19" t="n">
        <x:f>SUM(Y8:AB8)</x:f>
        <x:v>10</x:v>
      </x:c>
      <x:c r="T8" s="12" t="n">
        <x:f>WORKDAY('项目总表'!$B$15-1,AL8)</x:f>
        <x:v>46315</x:v>
      </x:c>
      <x:c r="U8" s="12" t="n">
        <x:f>WORKDAY(T8-1,Q8)</x:f>
        <x:v>46316</x:v>
      </x:c>
      <x:c r="V8" s="9" t="str">
        <x:v>计划内部评审</x:v>
      </x:c>
      <x:c r="W8" s="9" t="str">
        <x:v>四项计划、WBS与预算编制，项目经理主导，QA复核2小时</x:v>
      </x:c>
      <x:c r="X8" s="9" t="str">
        <x:v>仿真计划，未执行</x:v>
      </x:c>
      <x:c r="Y8" s="34" t="n">
        <x:f>AM8</x:f>
        <x:v>8</x:v>
      </x:c>
      <x:c r="Z8" s="34" t="n">
        <x:f>AN8</x:f>
        <x:v>0</x:v>
      </x:c>
      <x:c r="AA8" s="34" t="n">
        <x:f>AO8</x:f>
        <x:v>0</x:v>
      </x:c>
      <x:c r="AB8" s="34" t="n">
        <x:f>AP8</x:f>
        <x:v>2</x:v>
      </x:c>
      <x:c r="AC8" s="34" t="n">
        <x:f>Y8*'资源计划'!$F$8+Z8*'资源计划'!$F$9+AA8*'资源计划'!$F$10+AB8*'资源计划'!$F$11</x:f>
        <x:v>980</x:v>
      </x:c>
      <x:c r="AD8" s="29" t="str">
        <x:v>中</x:v>
      </x:c>
      <x:c r="AE8" s="29" t="str">
        <x:v>自下而上估算：按WBS活动分资源人时×仿真费率汇总；复杂度、复用条件和工作量假设逐轮复核。四项计划、WBS与预算编制，项目经理主导，QA复核2小时</x:v>
      </x:c>
      <x:c r="AF8" s="29" t="str">
        <x:v>是</x:v>
      </x:c>
      <x:c r="AG8" s="33" t="n">
        <x:v>0</x:v>
      </x:c>
      <x:c r="AH8" s="33" t="n">
        <x:f>Y8/Q8</x:f>
        <x:v>4</x:v>
      </x:c>
      <x:c r="AI8" s="33" t="n">
        <x:f>Z8/Q8</x:f>
        <x:v>0</x:v>
      </x:c>
      <x:c r="AJ8" s="33" t="n">
        <x:f>AA8/Q8</x:f>
        <x:v>0</x:v>
      </x:c>
      <x:c r="AK8" s="33" t="n">
        <x:f>AB8/Q8</x:f>
        <x:v>1</x:v>
      </x:c>
      <x:c r="AL8" s="41" t="n">
        <x:v>2</x:v>
      </x:c>
      <x:c r="AM8" s="33" t="n">
        <x:v>8</x:v>
      </x:c>
      <x:c r="AN8" s="33" t="n">
        <x:v>0</x:v>
      </x:c>
      <x:c r="AO8" s="33" t="n">
        <x:v>0</x:v>
      </x:c>
      <x:c r="AP8" s="33" t="n">
        <x:v>2</x:v>
      </x:c>
    </x:row>
    <x:row r="9" ht="72" customHeight="1">
      <x:c r="A9" s="16" t="str">
        <x:v>T1.3</x:v>
      </x:c>
      <x:c r="B9" s="16" t="str">
        <x:v>编写测试大纲与合成数据方案</x:v>
      </x:c>
      <x:c r="C9" s="16" t="str">
        <x:v>NFR-01～11, IF-01～04</x:v>
      </x:c>
      <x:c r="D9" s="16" t="str">
        <x:v>T1.1FS</x:v>
      </x:c>
      <x:c r="E9" s="17" t="n">
        <x:f>INT((T9-'项目总表'!$B$15)/7)+1</x:f>
        <x:v>1</x:v>
      </x:c>
      <x:c r="F9" s="17" t="n">
        <x:f>INT((U9-'项目总表'!$B$15)/7)+1</x:f>
        <x:v>1</x:v>
      </x:c>
      <x:c r="G9" s="17" t="str">
        <x:f>IF(COUNT($E9:$F9)&lt;2,"",IF(AND(G$6&gt;=$E9,G$6&lt;=$F9),"■",""))</x:f>
        <x:v>■</x:v>
      </x:c>
      <x:c r="H9" s="17" t="str">
        <x:f>IF(COUNT($E9:$F9)&lt;2,"",IF(AND(H$6&gt;=$E9,H$6&lt;=$F9),"■",""))</x:f>
      </x:c>
      <x:c r="I9" s="17" t="str">
        <x:f>IF(COUNT($E9:$F9)&lt;2,"",IF(AND(I$6&gt;=$E9,I$6&lt;=$F9),"■",""))</x:f>
      </x:c>
      <x:c r="J9" s="17" t="str">
        <x:f>IF(COUNT($E9:$F9)&lt;2,"",IF(AND(J$6&gt;=$E9,J$6&lt;=$F9),"■",""))</x:f>
      </x:c>
      <x:c r="K9" s="17" t="str">
        <x:f>IF(COUNT($E9:$F9)&lt;2,"",IF(AND(K$6&gt;=$E9,K$6&lt;=$F9),"■",""))</x:f>
      </x:c>
      <x:c r="L9" s="17" t="str">
        <x:f>IF(COUNT($E9:$F9)&lt;2,"",IF(AND(L$6&gt;=$E9,L$6&lt;=$F9),"■",""))</x:f>
      </x:c>
      <x:c r="M9" s="17" t="str">
        <x:f>IF(COUNT($E9:$F9)&lt;2,"",IF(AND(M$6&gt;=$E9,M$6&lt;=$F9),"■",""))</x:f>
      </x:c>
      <x:c r="N9" s="17" t="str">
        <x:f>IF(COUNT($E9:$F9)&lt;2,"",IF(AND(N$6&gt;=$E9,N$6&lt;=$F9),"■",""))</x:f>
      </x:c>
      <x:c r="O9" s="9" t="str">
        <x:v>质量策划</x:v>
      </x:c>
      <x:c r="P9" s="9" t="str">
        <x:v>测试大纲、验收数据与预期答案</x:v>
      </x:c>
      <x:c r="Q9" s="19" t="n">
        <x:v>3</x:v>
      </x:c>
      <x:c r="R9" s="16" t="str">
        <x:v>R04</x:v>
      </x:c>
      <x:c r="S9" s="19" t="n">
        <x:f>SUM(Y9:AB9)</x:f>
        <x:v>18</x:v>
      </x:c>
      <x:c r="T9" s="12" t="n">
        <x:f>WORKDAY('项目总表'!$B$15-1,AL9)</x:f>
        <x:v>46315</x:v>
      </x:c>
      <x:c r="U9" s="12" t="n">
        <x:f>WORKDAY(T9-1,Q9)</x:f>
        <x:v>46317</x:v>
      </x:c>
      <x:c r="V9" s="9" t="str">
        <x:v>AC-01～14</x:v>
      </x:c>
      <x:c r="W9" s="9" t="str">
        <x:v>14组验收、边界数据、压力数据方案</x:v>
      </x:c>
      <x:c r="X9" s="9" t="str">
        <x:v>仿真计划，未执行</x:v>
      </x:c>
      <x:c r="Y9" s="34" t="n">
        <x:f>AM9</x:f>
        <x:v>2</x:v>
      </x:c>
      <x:c r="Z9" s="34" t="n">
        <x:f>AN9</x:f>
        <x:v>0</x:v>
      </x:c>
      <x:c r="AA9" s="34" t="n">
        <x:f>AO9</x:f>
        <x:v>0</x:v>
      </x:c>
      <x:c r="AB9" s="34" t="n">
        <x:f>AP9</x:f>
        <x:v>16</x:v>
      </x:c>
      <x:c r="AC9" s="34" t="n">
        <x:f>Y9*'资源计划'!$F$8+Z9*'资源计划'!$F$9+AA9*'资源计划'!$F$10+AB9*'资源计划'!$F$11</x:f>
        <x:v>1640</x:v>
      </x:c>
      <x:c r="AD9" s="29" t="str">
        <x:v>中</x:v>
      </x:c>
      <x:c r="AE9" s="29" t="str">
        <x:v>自下而上估算：按WBS活动分资源人时×仿真费率汇总；复杂度、复用条件和工作量假设逐轮复核。14组验收、边界数据、压力数据方案</x:v>
      </x:c>
      <x:c r="AF9" s="29" t="str">
        <x:v>否</x:v>
      </x:c>
      <x:c r="AG9" s="33" t="n">
        <x:v>27</x:v>
      </x:c>
      <x:c r="AH9" s="33" t="n">
        <x:f>Y9/Q9</x:f>
        <x:v>0.6666666666666666</x:v>
      </x:c>
      <x:c r="AI9" s="33" t="n">
        <x:f>Z9/Q9</x:f>
        <x:v>0</x:v>
      </x:c>
      <x:c r="AJ9" s="33" t="n">
        <x:f>AA9/Q9</x:f>
        <x:v>0</x:v>
      </x:c>
      <x:c r="AK9" s="33" t="n">
        <x:f>AB9/Q9</x:f>
        <x:v>5.333333333333333</x:v>
      </x:c>
      <x:c r="AL9" s="41" t="n">
        <x:v>2</x:v>
      </x:c>
      <x:c r="AM9" s="33" t="n">
        <x:v>2</x:v>
      </x:c>
      <x:c r="AN9" s="33" t="n">
        <x:v>0</x:v>
      </x:c>
      <x:c r="AO9" s="33" t="n">
        <x:v>0</x:v>
      </x:c>
      <x:c r="AP9" s="33" t="n">
        <x:v>16</x:v>
      </x:c>
    </x:row>
    <x:row r="10" ht="72" customHeight="1">
      <x:c r="A10" s="16" t="str">
        <x:v>T2.1</x:v>
      </x:c>
      <x:c r="B10" s="16" t="str">
        <x:v>总体架构与模块设计</x:v>
      </x:c>
      <x:c r="C10" s="16" t="str">
        <x:v>FR-01～28, IF-01～04</x:v>
      </x:c>
      <x:c r="D10" s="16" t="str">
        <x:v>T1.1FS</x:v>
      </x:c>
      <x:c r="E10" s="17" t="n">
        <x:f>INT((T10-'项目总表'!$B$15)/7)+1</x:f>
        <x:v>1</x:v>
      </x:c>
      <x:c r="F10" s="17" t="n">
        <x:f>INT((U10-'项目总表'!$B$15)/7)+1</x:f>
        <x:v>1</x:v>
      </x:c>
      <x:c r="G10" s="17" t="str">
        <x:f>IF(COUNT($E10:$F10)&lt;2,"",IF(AND(G$6&gt;=$E10,G$6&lt;=$F10),"■",""))</x:f>
        <x:v>■</x:v>
      </x:c>
      <x:c r="H10" s="17" t="str">
        <x:f>IF(COUNT($E10:$F10)&lt;2,"",IF(AND(H$6&gt;=$E10,H$6&lt;=$F10),"■",""))</x:f>
      </x:c>
      <x:c r="I10" s="17" t="str">
        <x:f>IF(COUNT($E10:$F10)&lt;2,"",IF(AND(I$6&gt;=$E10,I$6&lt;=$F10),"■",""))</x:f>
      </x:c>
      <x:c r="J10" s="17" t="str">
        <x:f>IF(COUNT($E10:$F10)&lt;2,"",IF(AND(J$6&gt;=$E10,J$6&lt;=$F10),"■",""))</x:f>
      </x:c>
      <x:c r="K10" s="17" t="str">
        <x:f>IF(COUNT($E10:$F10)&lt;2,"",IF(AND(K$6&gt;=$E10,K$6&lt;=$F10),"■",""))</x:f>
      </x:c>
      <x:c r="L10" s="17" t="str">
        <x:f>IF(COUNT($E10:$F10)&lt;2,"",IF(AND(L$6&gt;=$E10,L$6&lt;=$F10),"■",""))</x:f>
      </x:c>
      <x:c r="M10" s="17" t="str">
        <x:f>IF(COUNT($E10:$F10)&lt;2,"",IF(AND(M$6&gt;=$E10,M$6&lt;=$F10),"■",""))</x:f>
      </x:c>
      <x:c r="N10" s="17" t="str">
        <x:f>IF(COUNT($E10:$F10)&lt;2,"",IF(AND(N$6&gt;=$E10,N$6&lt;=$F10),"■",""))</x:f>
      </x:c>
      <x:c r="O10" s="9" t="str">
        <x:v>设计</x:v>
      </x:c>
      <x:c r="P10" s="9" t="str">
        <x:v>总体设计与模块接口说明</x:v>
      </x:c>
      <x:c r="Q10" s="19" t="n">
        <x:v>2</x:v>
      </x:c>
      <x:c r="R10" s="16" t="str">
        <x:v>R02</x:v>
      </x:c>
      <x:c r="S10" s="19" t="n">
        <x:f>SUM(Y10:AB10)</x:f>
        <x:v>26</x:v>
      </x:c>
      <x:c r="T10" s="12" t="n">
        <x:f>WORKDAY('项目总表'!$B$15-1,AL10)</x:f>
        <x:v>46315</x:v>
      </x:c>
      <x:c r="U10" s="12" t="n">
        <x:f>WORKDAY(T10-1,Q10)</x:f>
        <x:v>46316</x:v>
      </x:c>
      <x:c r="V10" s="9" t="str">
        <x:v>设计评审</x:v>
      </x:c>
      <x:c r="W10" s="9" t="str">
        <x:v>分层架构、权限边界和状态流设计，QA参加2小时可测性评审</x:v>
      </x:c>
      <x:c r="X10" s="9" t="str">
        <x:v>仿真计划，未执行</x:v>
      </x:c>
      <x:c r="Y10" s="34" t="n">
        <x:f>AM10</x:f>
        <x:v>6</x:v>
      </x:c>
      <x:c r="Z10" s="34" t="n">
        <x:f>AN10</x:f>
        <x:v>12</x:v>
      </x:c>
      <x:c r="AA10" s="34" t="n">
        <x:f>AO10</x:f>
        <x:v>6</x:v>
      </x:c>
      <x:c r="AB10" s="34" t="n">
        <x:f>AP10</x:f>
        <x:v>2</x:v>
      </x:c>
      <x:c r="AC10" s="34" t="n">
        <x:f>Y10*'资源计划'!$F$8+Z10*'资源计划'!$F$9+AA10*'资源计划'!$F$10+AB10*'资源计划'!$F$11</x:f>
        <x:v>2820</x:v>
      </x:c>
      <x:c r="AD10" s="29" t="str">
        <x:v>高</x:v>
      </x:c>
      <x:c r="AE10" s="29" t="str">
        <x:v>自下而上估算：按WBS活动分资源人时×仿真费率汇总；复杂度、复用条件和工作量假设逐轮复核。分层架构、权限边界和状态流设计，QA参加2小时可测性评审</x:v>
      </x:c>
      <x:c r="AF10" s="29" t="str">
        <x:v>否</x:v>
      </x:c>
      <x:c r="AG10" s="33" t="n">
        <x:v>10</x:v>
      </x:c>
      <x:c r="AH10" s="33" t="n">
        <x:f>Y10/Q10</x:f>
        <x:v>3</x:v>
      </x:c>
      <x:c r="AI10" s="33" t="n">
        <x:f>Z10/Q10</x:f>
        <x:v>6</x:v>
      </x:c>
      <x:c r="AJ10" s="33" t="n">
        <x:f>AA10/Q10</x:f>
        <x:v>3</x:v>
      </x:c>
      <x:c r="AK10" s="33" t="n">
        <x:f>AB10/Q10</x:f>
        <x:v>1</x:v>
      </x:c>
      <x:c r="AL10" s="41" t="n">
        <x:v>2</x:v>
      </x:c>
      <x:c r="AM10" s="33" t="n">
        <x:v>6</x:v>
      </x:c>
      <x:c r="AN10" s="33" t="n">
        <x:v>12</x:v>
      </x:c>
      <x:c r="AO10" s="33" t="n">
        <x:v>6</x:v>
      </x:c>
      <x:c r="AP10" s="33" t="n">
        <x:v>2</x:v>
      </x:c>
    </x:row>
    <x:row r="11" ht="72" customHeight="1">
      <x:c r="A11" s="16" t="str">
        <x:v>T2.2</x:v>
      </x:c>
      <x:c r="B11" s="16" t="str">
        <x:v>数据模型、版本与事务设计</x:v>
      </x:c>
      <x:c r="C11" s="16" t="str">
        <x:v>FR-02～13, FR-21, FR-25～28, NFR-09</x:v>
      </x:c>
      <x:c r="D11" s="16" t="str">
        <x:v>T2.1FS</x:v>
      </x:c>
      <x:c r="E11" s="17" t="n">
        <x:f>INT((T11-'项目总表'!$B$15)/7)+1</x:f>
        <x:v>1</x:v>
      </x:c>
      <x:c r="F11" s="17" t="n">
        <x:f>INT((U11-'项目总表'!$B$15)/7)+1</x:f>
        <x:v>1</x:v>
      </x:c>
      <x:c r="G11" s="17" t="str">
        <x:f>IF(COUNT($E11:$F11)&lt;2,"",IF(AND(G$6&gt;=$E11,G$6&lt;=$F11),"■",""))</x:f>
        <x:v>■</x:v>
      </x:c>
      <x:c r="H11" s="17" t="str">
        <x:f>IF(COUNT($E11:$F11)&lt;2,"",IF(AND(H$6&gt;=$E11,H$6&lt;=$F11),"■",""))</x:f>
      </x:c>
      <x:c r="I11" s="17" t="str">
        <x:f>IF(COUNT($E11:$F11)&lt;2,"",IF(AND(I$6&gt;=$E11,I$6&lt;=$F11),"■",""))</x:f>
      </x:c>
      <x:c r="J11" s="17" t="str">
        <x:f>IF(COUNT($E11:$F11)&lt;2,"",IF(AND(J$6&gt;=$E11,J$6&lt;=$F11),"■",""))</x:f>
      </x:c>
      <x:c r="K11" s="17" t="str">
        <x:f>IF(COUNT($E11:$F11)&lt;2,"",IF(AND(K$6&gt;=$E11,K$6&lt;=$F11),"■",""))</x:f>
      </x:c>
      <x:c r="L11" s="17" t="str">
        <x:f>IF(COUNT($E11:$F11)&lt;2,"",IF(AND(L$6&gt;=$E11,L$6&lt;=$F11),"■",""))</x:f>
      </x:c>
      <x:c r="M11" s="17" t="str">
        <x:f>IF(COUNT($E11:$F11)&lt;2,"",IF(AND(M$6&gt;=$E11,M$6&lt;=$F11),"■",""))</x:f>
      </x:c>
      <x:c r="N11" s="17" t="str">
        <x:f>IF(COUNT($E11:$F11)&lt;2,"",IF(AND(N$6&gt;=$E11,N$6&lt;=$F11),"■",""))</x:f>
      </x:c>
      <x:c r="O11" s="9" t="str">
        <x:v>设计</x:v>
      </x:c>
      <x:c r="P11" s="9" t="str">
        <x:v>数据模型、迁移与快照审计设计</x:v>
      </x:c>
      <x:c r="Q11" s="19" t="n">
        <x:v>2</x:v>
      </x:c>
      <x:c r="R11" s="16" t="str">
        <x:v>R02</x:v>
      </x:c>
      <x:c r="S11" s="19" t="n">
        <x:f>SUM(Y11:AB11)</x:f>
        <x:v>16</x:v>
      </x:c>
      <x:c r="T11" s="12" t="n">
        <x:f>WORKDAY('项目总表'!$B$15-1,AL11)</x:f>
        <x:v>46317</x:v>
      </x:c>
      <x:c r="U11" s="12" t="n">
        <x:f>WORKDAY(T11-1,Q11)</x:f>
        <x:v>46318</x:v>
      </x:c>
      <x:c r="V11" s="9" t="str">
        <x:v>AC-01～04, AC-09</x:v>
      </x:c>
      <x:c r="W11" s="9" t="str">
        <x:v>版本、事务、冻结快照和审计模型设计</x:v>
      </x:c>
      <x:c r="X11" s="9" t="str">
        <x:v>仿真计划，未执行</x:v>
      </x:c>
      <x:c r="Y11" s="34" t="n">
        <x:f>AM11</x:f>
        <x:v>4</x:v>
      </x:c>
      <x:c r="Z11" s="34" t="n">
        <x:f>AN11</x:f>
        <x:v>12</x:v>
      </x:c>
      <x:c r="AA11" s="34" t="n">
        <x:f>AO11</x:f>
        <x:v>0</x:v>
      </x:c>
      <x:c r="AB11" s="34" t="n">
        <x:f>AP11</x:f>
        <x:v>0</x:v>
      </x:c>
      <x:c r="AC11" s="34" t="n">
        <x:f>Y11*'资源计划'!$F$8+Z11*'资源计划'!$F$9+AA11*'资源计划'!$F$10+AB11*'资源计划'!$F$11</x:f>
        <x:v>1840</x:v>
      </x:c>
      <x:c r="AD11" s="29" t="str">
        <x:v>高</x:v>
      </x:c>
      <x:c r="AE11" s="29" t="str">
        <x:v>自下而上估算：按WBS活动分资源人时×仿真费率汇总；复杂度、复用条件和工作量假设逐轮复核。版本、事务、冻结快照和审计模型设计</x:v>
      </x:c>
      <x:c r="AF11" s="29" t="str">
        <x:v>否</x:v>
      </x:c>
      <x:c r="AG11" s="33" t="n">
        <x:v>11</x:v>
      </x:c>
      <x:c r="AH11" s="33" t="n">
        <x:f>Y11/Q11</x:f>
        <x:v>2</x:v>
      </x:c>
      <x:c r="AI11" s="33" t="n">
        <x:f>Z11/Q11</x:f>
        <x:v>6</x:v>
      </x:c>
      <x:c r="AJ11" s="33" t="n">
        <x:f>AA11/Q11</x:f>
        <x:v>0</x:v>
      </x:c>
      <x:c r="AK11" s="33" t="n">
        <x:f>AB11/Q11</x:f>
        <x:v>0</x:v>
      </x:c>
      <x:c r="AL11" s="41" t="n">
        <x:v>4</x:v>
      </x:c>
      <x:c r="AM11" s="33" t="n">
        <x:v>4</x:v>
      </x:c>
      <x:c r="AN11" s="33" t="n">
        <x:v>12</x:v>
      </x:c>
      <x:c r="AO11" s="33" t="n">
        <x:v>0</x:v>
      </x:c>
      <x:c r="AP11" s="33" t="n">
        <x:v>0</x:v>
      </x:c>
    </x:row>
    <x:row r="12" ht="72" customHeight="1">
      <x:c r="A12" s="16" t="str">
        <x:v>T2.3</x:v>
      </x:c>
      <x:c r="B12" s="16" t="str">
        <x:v>内部接口与导出契约设计</x:v>
      </x:c>
      <x:c r="C12" s="16" t="str">
        <x:v>IF-01～04</x:v>
      </x:c>
      <x:c r="D12" s="16" t="str">
        <x:v>T2.1FS</x:v>
      </x:c>
      <x:c r="E12" s="17" t="n">
        <x:f>INT((T12-'项目总表'!$B$15)/7)+1</x:f>
        <x:v>1</x:v>
      </x:c>
      <x:c r="F12" s="17" t="n">
        <x:f>INT((U12-'项目总表'!$B$15)/7)+1</x:f>
        <x:v>1</x:v>
      </x:c>
      <x:c r="G12" s="17" t="str">
        <x:f>IF(COUNT($E12:$F12)&lt;2,"",IF(AND(G$6&gt;=$E12,G$6&lt;=$F12),"■",""))</x:f>
        <x:v>■</x:v>
      </x:c>
      <x:c r="H12" s="17" t="str">
        <x:f>IF(COUNT($E12:$F12)&lt;2,"",IF(AND(H$6&gt;=$E12,H$6&lt;=$F12),"■",""))</x:f>
      </x:c>
      <x:c r="I12" s="17" t="str">
        <x:f>IF(COUNT($E12:$F12)&lt;2,"",IF(AND(I$6&gt;=$E12,I$6&lt;=$F12),"■",""))</x:f>
      </x:c>
      <x:c r="J12" s="17" t="str">
        <x:f>IF(COUNT($E12:$F12)&lt;2,"",IF(AND(J$6&gt;=$E12,J$6&lt;=$F12),"■",""))</x:f>
      </x:c>
      <x:c r="K12" s="17" t="str">
        <x:f>IF(COUNT($E12:$F12)&lt;2,"",IF(AND(K$6&gt;=$E12,K$6&lt;=$F12),"■",""))</x:f>
      </x:c>
      <x:c r="L12" s="17" t="str">
        <x:f>IF(COUNT($E12:$F12)&lt;2,"",IF(AND(L$6&gt;=$E12,L$6&lt;=$F12),"■",""))</x:f>
      </x:c>
      <x:c r="M12" s="17" t="str">
        <x:f>IF(COUNT($E12:$F12)&lt;2,"",IF(AND(M$6&gt;=$E12,M$6&lt;=$F12),"■",""))</x:f>
      </x:c>
      <x:c r="N12" s="17" t="str">
        <x:f>IF(COUNT($E12:$F12)&lt;2,"",IF(AND(N$6&gt;=$E12,N$6&lt;=$F12),"■",""))</x:f>
      </x:c>
      <x:c r="O12" s="9" t="str">
        <x:v>设计</x:v>
      </x:c>
      <x:c r="P12" s="9" t="str">
        <x:v>内部API、导出、监控和MOCK契约</x:v>
      </x:c>
      <x:c r="Q12" s="19" t="n">
        <x:v>2</x:v>
      </x:c>
      <x:c r="R12" s="16" t="str">
        <x:v>R01</x:v>
      </x:c>
      <x:c r="S12" s="19" t="n">
        <x:f>SUM(Y12:AB12)</x:f>
        <x:v>16</x:v>
      </x:c>
      <x:c r="T12" s="12" t="n">
        <x:f>WORKDAY('项目总表'!$B$15-1,AL12)</x:f>
        <x:v>46317</x:v>
      </x:c>
      <x:c r="U12" s="12" t="n">
        <x:f>WORKDAY(T12-1,Q12)</x:f>
        <x:v>46318</x:v>
      </x:c>
      <x:c r="V12" s="9" t="str">
        <x:v>AC-06, AC-10A, AC-14</x:v>
      </x:c>
      <x:c r="W12" s="9" t="str">
        <x:v>已有SRS契约细化、错误码及导出接口设计</x:v>
      </x:c>
      <x:c r="X12" s="9" t="str">
        <x:v>仿真计划，未执行</x:v>
      </x:c>
      <x:c r="Y12" s="34" t="n">
        <x:f>AM12</x:f>
        <x:v>6</x:v>
      </x:c>
      <x:c r="Z12" s="34" t="n">
        <x:f>AN12</x:f>
        <x:v>2</x:v>
      </x:c>
      <x:c r="AA12" s="34" t="n">
        <x:f>AO12</x:f>
        <x:v>4</x:v>
      </x:c>
      <x:c r="AB12" s="34" t="n">
        <x:f>AP12</x:f>
        <x:v>4</x:v>
      </x:c>
      <x:c r="AC12" s="34" t="n">
        <x:f>Y12*'资源计划'!$F$8+Z12*'资源计划'!$F$9+AA12*'资源计划'!$F$10+AB12*'资源计划'!$F$11</x:f>
        <x:v>1600</x:v>
      </x:c>
      <x:c r="AD12" s="29" t="str">
        <x:v>高</x:v>
      </x:c>
      <x:c r="AE12" s="29" t="str">
        <x:v>自下而上估算：按WBS活动分资源人时×仿真费率汇总；复杂度、复用条件和工作量假设逐轮复核。已有SRS契约细化、错误码及导出接口设计</x:v>
      </x:c>
      <x:c r="AF12" s="29" t="str">
        <x:v>否</x:v>
      </x:c>
      <x:c r="AG12" s="33" t="n">
        <x:v>10</x:v>
      </x:c>
      <x:c r="AH12" s="33" t="n">
        <x:f>Y12/Q12</x:f>
        <x:v>3</x:v>
      </x:c>
      <x:c r="AI12" s="33" t="n">
        <x:f>Z12/Q12</x:f>
        <x:v>1</x:v>
      </x:c>
      <x:c r="AJ12" s="33" t="n">
        <x:f>AA12/Q12</x:f>
        <x:v>2</x:v>
      </x:c>
      <x:c r="AK12" s="33" t="n">
        <x:f>AB12/Q12</x:f>
        <x:v>2</x:v>
      </x:c>
      <x:c r="AL12" s="41" t="n">
        <x:v>4</x:v>
      </x:c>
      <x:c r="AM12" s="33" t="n">
        <x:v>6</x:v>
      </x:c>
      <x:c r="AN12" s="33" t="n">
        <x:v>2</x:v>
      </x:c>
      <x:c r="AO12" s="33" t="n">
        <x:v>4</x:v>
      </x:c>
      <x:c r="AP12" s="33" t="n">
        <x:v>4</x:v>
      </x:c>
    </x:row>
    <x:row r="13" ht="72" customHeight="1">
      <x:c r="A13" s="16" t="str">
        <x:v>T2.4</x:v>
      </x:c>
      <x:c r="B13" s="16" t="str">
        <x:v>确认国家真实交换输入</x:v>
      </x:c>
      <x:c r="C13" s="16" t="str">
        <x:v>FR-26, IF-01</x:v>
      </x:c>
      <x:c r="D13" s="16" t="str">
        <x:v>T1.1FS</x:v>
      </x:c>
      <x:c r="E13" s="17" t="n">
        <x:f>INT((T13-'项目总表'!$B$15)/7)+1</x:f>
        <x:v>2</x:v>
      </x:c>
      <x:c r="F13" s="17" t="n">
        <x:f>INT((U13-'项目总表'!$B$15)/7)+1</x:f>
        <x:v>2</x:v>
      </x:c>
      <x:c r="G13" s="17" t="str">
        <x:f>IF(COUNT($E13:$F13)&lt;2,"",IF(AND(G$6&gt;=$E13,G$6&lt;=$F13),"■",""))</x:f>
      </x:c>
      <x:c r="H13" s="17" t="str">
        <x:f>IF(COUNT($E13:$F13)&lt;2,"",IF(AND(H$6&gt;=$E13,H$6&lt;=$F13),"■",""))</x:f>
        <x:v>■</x:v>
      </x:c>
      <x:c r="I13" s="17" t="str">
        <x:f>IF(COUNT($E13:$F13)&lt;2,"",IF(AND(I$6&gt;=$E13,I$6&lt;=$F13),"■",""))</x:f>
      </x:c>
      <x:c r="J13" s="17" t="str">
        <x:f>IF(COUNT($E13:$F13)&lt;2,"",IF(AND(J$6&gt;=$E13,J$6&lt;=$F13),"■",""))</x:f>
      </x:c>
      <x:c r="K13" s="17" t="str">
        <x:f>IF(COUNT($E13:$F13)&lt;2,"",IF(AND(K$6&gt;=$E13,K$6&lt;=$F13),"■",""))</x:f>
      </x:c>
      <x:c r="L13" s="17" t="str">
        <x:f>IF(COUNT($E13:$F13)&lt;2,"",IF(AND(L$6&gt;=$E13,L$6&lt;=$F13),"■",""))</x:f>
      </x:c>
      <x:c r="M13" s="17" t="str">
        <x:f>IF(COUNT($E13:$F13)&lt;2,"",IF(AND(M$6&gt;=$E13,M$6&lt;=$F13),"■",""))</x:f>
      </x:c>
      <x:c r="N13" s="17" t="str">
        <x:f>IF(COUNT($E13:$F13)&lt;2,"",IF(AND(N$6&gt;=$E13,N$6&lt;=$F13),"■",""))</x:f>
      </x:c>
      <x:c r="O13" s="9" t="str">
        <x:v>外部输入</x:v>
      </x:c>
      <x:c r="P13" s="9" t="str">
        <x:v>协议版本、端点用途、认证与字段编码映射</x:v>
      </x:c>
      <x:c r="Q13" s="19" t="n">
        <x:v>3</x:v>
      </x:c>
      <x:c r="R13" s="16" t="str">
        <x:v>R01</x:v>
      </x:c>
      <x:c r="S13" s="19" t="n">
        <x:f>SUM(Y13:AB13)</x:f>
        <x:v>10</x:v>
      </x:c>
      <x:c r="T13" s="12" t="n">
        <x:f>WORKDAY('项目总表'!$B$15-1,AL13)</x:f>
        <x:v>46321</x:v>
      </x:c>
      <x:c r="U13" s="12" t="n">
        <x:f>WORKDAY(T13-1,Q13)</x:f>
        <x:v>46323</x:v>
      </x:c>
      <x:c r="V13" s="9" t="str">
        <x:v>AC-10B</x:v>
      </x:c>
      <x:c r="W13" s="9" t="str">
        <x:v>仿真假设W2具备协议、端点、测试凭据和字段映射</x:v>
      </x:c>
      <x:c r="X13" s="9" t="str">
        <x:v>仿真计划，未执行</x:v>
      </x:c>
      <x:c r="Y13" s="34" t="n">
        <x:f>AM13</x:f>
        <x:v>6</x:v>
      </x:c>
      <x:c r="Z13" s="34" t="n">
        <x:f>AN13</x:f>
        <x:v>4</x:v>
      </x:c>
      <x:c r="AA13" s="34" t="n">
        <x:f>AO13</x:f>
        <x:v>0</x:v>
      </x:c>
      <x:c r="AB13" s="34" t="n">
        <x:f>AP13</x:f>
        <x:v>0</x:v>
      </x:c>
      <x:c r="AC13" s="34" t="n">
        <x:f>Y13*'资源计划'!$F$8+Z13*'资源计划'!$F$9+AA13*'资源计划'!$F$10+AB13*'资源计划'!$F$11</x:f>
        <x:v>1080</x:v>
      </x:c>
      <x:c r="AD13" s="29" t="str">
        <x:v>中</x:v>
      </x:c>
      <x:c r="AE13" s="29" t="str">
        <x:v>自下而上估算：按WBS活动分资源人时×仿真费率汇总；复杂度、复用条件和工作量假设逐轮复核。外部协议和验证条件未确认；不预置未经证实的模型参数。仿真假设W2具备协议、端点、测试凭据和字段映射</x:v>
      </x:c>
      <x:c r="AF13" s="29" t="str">
        <x:v>否</x:v>
      </x:c>
      <x:c r="AG13" s="33" t="n">
        <x:v>21</x:v>
      </x:c>
      <x:c r="AH13" s="33" t="n">
        <x:f>Y13/Q13</x:f>
        <x:v>2</x:v>
      </x:c>
      <x:c r="AI13" s="33" t="n">
        <x:f>Z13/Q13</x:f>
        <x:v>1.3333333333333333</x:v>
      </x:c>
      <x:c r="AJ13" s="33" t="n">
        <x:f>AA13/Q13</x:f>
        <x:v>0</x:v>
      </x:c>
      <x:c r="AK13" s="33" t="n">
        <x:f>AB13/Q13</x:f>
        <x:v>0</x:v>
      </x:c>
      <x:c r="AL13" s="41" t="n">
        <x:v>6</x:v>
      </x:c>
      <x:c r="AM13" s="33" t="n">
        <x:v>6</x:v>
      </x:c>
      <x:c r="AN13" s="33" t="n">
        <x:v>4</x:v>
      </x:c>
      <x:c r="AO13" s="33" t="n">
        <x:v>0</x:v>
      </x:c>
      <x:c r="AP13" s="33" t="n">
        <x:v>0</x:v>
      </x:c>
    </x:row>
    <x:row r="14" ht="72" customHeight="1">
      <x:c r="A14" s="16" t="str">
        <x:v>T2.5</x:v>
      </x:c>
      <x:c r="B14" s="16" t="str">
        <x:v>维护计划与配置版本</x:v>
      </x:c>
      <x:c r="C14" s="16" t="str">
        <x:v>项目管理</x:v>
      </x:c>
      <x:c r="D14" s="16" t="str">
        <x:v>T1.2FS</x:v>
      </x:c>
      <x:c r="E14" s="17" t="n">
        <x:f>INT((T14-'项目总表'!$B$15)/7)+1</x:f>
        <x:v>1</x:v>
      </x:c>
      <x:c r="F14" s="17" t="n">
        <x:f>INT((U14-'项目总表'!$B$15)/7)+1</x:f>
        <x:v>8</x:v>
      </x:c>
      <x:c r="G14" s="17" t="str">
        <x:f>IF(COUNT($E14:$F14)&lt;2,"",IF(AND(G$6&gt;=$E14,G$6&lt;=$F14),"■",""))</x:f>
        <x:v>■</x:v>
      </x:c>
      <x:c r="H14" s="17" t="str">
        <x:f>IF(COUNT($E14:$F14)&lt;2,"",IF(AND(H$6&gt;=$E14,H$6&lt;=$F14),"■",""))</x:f>
        <x:v>■</x:v>
      </x:c>
      <x:c r="I14" s="17" t="str">
        <x:f>IF(COUNT($E14:$F14)&lt;2,"",IF(AND(I$6&gt;=$E14,I$6&lt;=$F14),"■",""))</x:f>
        <x:v>■</x:v>
      </x:c>
      <x:c r="J14" s="17" t="str">
        <x:f>IF(COUNT($E14:$F14)&lt;2,"",IF(AND(J$6&gt;=$E14,J$6&lt;=$F14),"■",""))</x:f>
        <x:v>■</x:v>
      </x:c>
      <x:c r="K14" s="17" t="str">
        <x:f>IF(COUNT($E14:$F14)&lt;2,"",IF(AND(K$6&gt;=$E14,K$6&lt;=$F14),"■",""))</x:f>
        <x:v>■</x:v>
      </x:c>
      <x:c r="L14" s="17" t="str">
        <x:f>IF(COUNT($E14:$F14)&lt;2,"",IF(AND(L$6&gt;=$E14,L$6&lt;=$F14),"■",""))</x:f>
        <x:v>■</x:v>
      </x:c>
      <x:c r="M14" s="17" t="str">
        <x:f>IF(COUNT($E14:$F14)&lt;2,"",IF(AND(M$6&gt;=$E14,M$6&lt;=$F14),"■",""))</x:f>
        <x:v>■</x:v>
      </x:c>
      <x:c r="N14" s="17" t="str">
        <x:f>IF(COUNT($E14:$F14)&lt;2,"",IF(AND(N$6&gt;=$E14,N$6&lt;=$F14),"■",""))</x:f>
        <x:v>■</x:v>
      </x:c>
      <x:c r="O14" s="9" t="str">
        <x:v>计划迭代</x:v>
      </x:c>
      <x:c r="P14" s="9" t="str">
        <x:v>计划修订记录、配置和文档版本</x:v>
      </x:c>
      <x:c r="Q14" s="19" t="n">
        <x:v>36</x:v>
      </x:c>
      <x:c r="R14" s="16" t="str">
        <x:v>R01</x:v>
      </x:c>
      <x:c r="S14" s="19" t="n">
        <x:f>SUM(Y14:AB14)</x:f>
        <x:v>36</x:v>
      </x:c>
      <x:c r="T14" s="12" t="n">
        <x:f>WORKDAY('项目总表'!$B$15-1,AL14)</x:f>
        <x:v>46317</x:v>
      </x:c>
      <x:c r="U14" s="12" t="n">
        <x:f>WORKDAY(T14-1,Q14)</x:f>
        <x:v>46366</x:v>
      </x:c>
      <x:c r="V14" s="9" t="str">
        <x:v>版本复核</x:v>
      </x:c>
      <x:c r="W14" s="9" t="str">
        <x:v>D4–D39每日1小时配置、计划、风险和成本跟踪</x:v>
      </x:c>
      <x:c r="X14" s="9" t="str">
        <x:v>仿真计划，未执行</x:v>
      </x:c>
      <x:c r="Y14" s="34" t="n">
        <x:f>AM14</x:f>
        <x:v>36</x:v>
      </x:c>
      <x:c r="Z14" s="34" t="n">
        <x:f>AN14</x:f>
        <x:v>0</x:v>
      </x:c>
      <x:c r="AA14" s="34" t="n">
        <x:f>AO14</x:f>
        <x:v>0</x:v>
      </x:c>
      <x:c r="AB14" s="34" t="n">
        <x:f>AP14</x:f>
        <x:v>0</x:v>
      </x:c>
      <x:c r="AC14" s="34" t="n">
        <x:f>Y14*'资源计划'!$F$8+Z14*'资源计划'!$F$9+AA14*'资源计划'!$F$10+AB14*'资源计划'!$F$11</x:f>
        <x:v>3600</x:v>
      </x:c>
      <x:c r="AD14" s="29" t="str">
        <x:v>中</x:v>
      </x:c>
      <x:c r="AE14" s="29" t="str">
        <x:v>自下而上估算：按WBS活动分资源人时×仿真费率汇总；复杂度、复用条件和工作量假设逐轮复核。D4–D39每日1小时配置、计划、风险和成本跟踪</x:v>
      </x:c>
      <x:c r="AF14" s="29" t="str">
        <x:v>是</x:v>
      </x:c>
      <x:c r="AG14" s="33" t="n">
        <x:v>0</x:v>
      </x:c>
      <x:c r="AH14" s="33" t="n">
        <x:f>Y14/Q14</x:f>
        <x:v>1</x:v>
      </x:c>
      <x:c r="AI14" s="33" t="n">
        <x:f>Z14/Q14</x:f>
        <x:v>0</x:v>
      </x:c>
      <x:c r="AJ14" s="33" t="n">
        <x:f>AA14/Q14</x:f>
        <x:v>0</x:v>
      </x:c>
      <x:c r="AK14" s="33" t="n">
        <x:f>AB14/Q14</x:f>
        <x:v>0</x:v>
      </x:c>
      <x:c r="AL14" s="41" t="n">
        <x:v>4</x:v>
      </x:c>
      <x:c r="AM14" s="33" t="n">
        <x:v>36</x:v>
      </x:c>
      <x:c r="AN14" s="33" t="n">
        <x:v>0</x:v>
      </x:c>
      <x:c r="AO14" s="33" t="n">
        <x:v>0</x:v>
      </x:c>
      <x:c r="AP14" s="33" t="n">
        <x:v>0</x:v>
      </x:c>
    </x:row>
    <x:row r="15" ht="72" customHeight="1">
      <x:c r="A15" s="16" t="str">
        <x:v>T3.1</x:v>
      </x:c>
      <x:c r="B15" s="16" t="str">
        <x:v>建立开发与本地集成环境</x:v>
      </x:c>
      <x:c r="C15" s="16" t="str">
        <x:v>NFR-11</x:v>
      </x:c>
      <x:c r="D15" s="16" t="str">
        <x:v>T2.1FS</x:v>
      </x:c>
      <x:c r="E15" s="17" t="n">
        <x:f>INT((T15-'项目总表'!$B$15)/7)+1</x:f>
        <x:v>1</x:v>
      </x:c>
      <x:c r="F15" s="17" t="n">
        <x:f>INT((U15-'项目总表'!$B$15)/7)+1</x:f>
        <x:v>2</x:v>
      </x:c>
      <x:c r="G15" s="17" t="str">
        <x:f>IF(COUNT($E15:$F15)&lt;2,"",IF(AND(G$6&gt;=$E15,G$6&lt;=$F15),"■",""))</x:f>
        <x:v>■</x:v>
      </x:c>
      <x:c r="H15" s="17" t="str">
        <x:f>IF(COUNT($E15:$F15)&lt;2,"",IF(AND(H$6&gt;=$E15,H$6&lt;=$F15),"■",""))</x:f>
        <x:v>■</x:v>
      </x:c>
      <x:c r="I15" s="17" t="str">
        <x:f>IF(COUNT($E15:$F15)&lt;2,"",IF(AND(I$6&gt;=$E15,I$6&lt;=$F15),"■",""))</x:f>
      </x:c>
      <x:c r="J15" s="17" t="str">
        <x:f>IF(COUNT($E15:$F15)&lt;2,"",IF(AND(J$6&gt;=$E15,J$6&lt;=$F15),"■",""))</x:f>
      </x:c>
      <x:c r="K15" s="17" t="str">
        <x:f>IF(COUNT($E15:$F15)&lt;2,"",IF(AND(K$6&gt;=$E15,K$6&lt;=$F15),"■",""))</x:f>
      </x:c>
      <x:c r="L15" s="17" t="str">
        <x:f>IF(COUNT($E15:$F15)&lt;2,"",IF(AND(L$6&gt;=$E15,L$6&lt;=$F15),"■",""))</x:f>
      </x:c>
      <x:c r="M15" s="17" t="str">
        <x:f>IF(COUNT($E15:$F15)&lt;2,"",IF(AND(M$6&gt;=$E15,M$6&lt;=$F15),"■",""))</x:f>
      </x:c>
      <x:c r="N15" s="17" t="str">
        <x:f>IF(COUNT($E15:$F15)&lt;2,"",IF(AND(N$6&gt;=$E15,N$6&lt;=$F15),"■",""))</x:f>
      </x:c>
      <x:c r="O15" s="9" t="str">
        <x:v>开发准备</x:v>
      </x:c>
      <x:c r="P15" s="9" t="str">
        <x:v>项目骨架、锁定依赖与启动说明</x:v>
      </x:c>
      <x:c r="Q15" s="19" t="n">
        <x:v>2</x:v>
      </x:c>
      <x:c r="R15" s="16" t="str">
        <x:v>R04</x:v>
      </x:c>
      <x:c r="S15" s="19" t="n">
        <x:f>SUM(Y15:AB15)</x:f>
        <x:v>16</x:v>
      </x:c>
      <x:c r="T15" s="12" t="n">
        <x:f>WORKDAY('项目总表'!$B$15-1,AL15)</x:f>
        <x:v>46318</x:v>
      </x:c>
      <x:c r="U15" s="12" t="n">
        <x:f>WORKDAY(T15-1,Q15)</x:f>
        <x:v>46321</x:v>
      </x:c>
      <x:c r="V15" s="9" t="str">
        <x:v>AC-14</x:v>
      </x:c>
      <x:c r="W15" s="9" t="str">
        <x:v>复用通用脚手架，配置本地环境与依赖</x:v>
      </x:c>
      <x:c r="X15" s="9" t="str">
        <x:v>仿真计划，未执行</x:v>
      </x:c>
      <x:c r="Y15" s="34" t="n">
        <x:f>AM15</x:f>
        <x:v>0</x:v>
      </x:c>
      <x:c r="Z15" s="34" t="n">
        <x:f>AN15</x:f>
        <x:v>0</x:v>
      </x:c>
      <x:c r="AA15" s="34" t="n">
        <x:f>AO15</x:f>
        <x:v>4</x:v>
      </x:c>
      <x:c r="AB15" s="34" t="n">
        <x:f>AP15</x:f>
        <x:v>12</x:v>
      </x:c>
      <x:c r="AC15" s="34" t="n">
        <x:f>Y15*'资源计划'!$F$8+Z15*'资源计划'!$F$9+AA15*'资源计划'!$F$10+AB15*'资源计划'!$F$11</x:f>
        <x:v>1480</x:v>
      </x:c>
      <x:c r="AD15" s="29" t="str">
        <x:v>中</x:v>
      </x:c>
      <x:c r="AE15" s="29" t="str">
        <x:v>自下而上估算：按WBS活动分资源人时×仿真费率汇总；复杂度、复用条件和工作量假设逐轮复核。复用通用脚手架，配置本地环境与依赖</x:v>
      </x:c>
      <x:c r="AF15" s="29" t="str">
        <x:v>否</x:v>
      </x:c>
      <x:c r="AG15" s="33" t="n">
        <x:v>9</x:v>
      </x:c>
      <x:c r="AH15" s="33" t="n">
        <x:f>Y15/Q15</x:f>
        <x:v>0</x:v>
      </x:c>
      <x:c r="AI15" s="33" t="n">
        <x:f>Z15/Q15</x:f>
        <x:v>0</x:v>
      </x:c>
      <x:c r="AJ15" s="33" t="n">
        <x:f>AA15/Q15</x:f>
        <x:v>2</x:v>
      </x:c>
      <x:c r="AK15" s="33" t="n">
        <x:f>AB15/Q15</x:f>
        <x:v>6</x:v>
      </x:c>
      <x:c r="AL15" s="41" t="n">
        <x:v>5</x:v>
      </x:c>
      <x:c r="AM15" s="33" t="n">
        <x:v>0</x:v>
      </x:c>
      <x:c r="AN15" s="33" t="n">
        <x:v>0</x:v>
      </x:c>
      <x:c r="AO15" s="33" t="n">
        <x:v>4</x:v>
      </x:c>
      <x:c r="AP15" s="33" t="n">
        <x:v>12</x:v>
      </x:c>
    </x:row>
    <x:row r="16" ht="72" customHeight="1">
      <x:c r="A16" s="16" t="str">
        <x:v>T3.2</x:v>
      </x:c>
      <x:c r="B16" s="16" t="str">
        <x:v>实现认证、权限和角色基础</x:v>
      </x:c>
      <x:c r="C16" s="16" t="str">
        <x:v>FR-01, FR-22, FR-23, NFR-06～08, IF-02</x:v>
      </x:c>
      <x:c r="D16" s="16" t="str">
        <x:v>T2.3FS; T3.1FS</x:v>
      </x:c>
      <x:c r="E16" s="17" t="n">
        <x:f>INT((T16-'项目总表'!$B$15)/7)+1</x:f>
        <x:v>2</x:v>
      </x:c>
      <x:c r="F16" s="17" t="n">
        <x:f>INT((U16-'项目总表'!$B$15)/7)+1</x:f>
        <x:v>2</x:v>
      </x:c>
      <x:c r="G16" s="17" t="str">
        <x:f>IF(COUNT($E16:$F16)&lt;2,"",IF(AND(G$6&gt;=$E16,G$6&lt;=$F16),"■",""))</x:f>
      </x:c>
      <x:c r="H16" s="17" t="str">
        <x:f>IF(COUNT($E16:$F16)&lt;2,"",IF(AND(H$6&gt;=$E16,H$6&lt;=$F16),"■",""))</x:f>
        <x:v>■</x:v>
      </x:c>
      <x:c r="I16" s="17" t="str">
        <x:f>IF(COUNT($E16:$F16)&lt;2,"",IF(AND(I$6&gt;=$E16,I$6&lt;=$F16),"■",""))</x:f>
      </x:c>
      <x:c r="J16" s="17" t="str">
        <x:f>IF(COUNT($E16:$F16)&lt;2,"",IF(AND(J$6&gt;=$E16,J$6&lt;=$F16),"■",""))</x:f>
      </x:c>
      <x:c r="K16" s="17" t="str">
        <x:f>IF(COUNT($E16:$F16)&lt;2,"",IF(AND(K$6&gt;=$E16,K$6&lt;=$F16),"■",""))</x:f>
      </x:c>
      <x:c r="L16" s="17" t="str">
        <x:f>IF(COUNT($E16:$F16)&lt;2,"",IF(AND(L$6&gt;=$E16,L$6&lt;=$F16),"■",""))</x:f>
      </x:c>
      <x:c r="M16" s="17" t="str">
        <x:f>IF(COUNT($E16:$F16)&lt;2,"",IF(AND(M$6&gt;=$E16,M$6&lt;=$F16),"■",""))</x:f>
      </x:c>
      <x:c r="N16" s="17" t="str">
        <x:f>IF(COUNT($E16:$F16)&lt;2,"",IF(AND(N$6&gt;=$E16,N$6&lt;=$F16),"■",""))</x:f>
      </x:c>
      <x:c r="O16" s="9" t="str">
        <x:v>开发</x:v>
      </x:c>
      <x:c r="P16" s="9" t="str">
        <x:v>会话、范围鉴权、TOTP与角色管理</x:v>
      </x:c>
      <x:c r="Q16" s="19" t="n">
        <x:v>3</x:v>
      </x:c>
      <x:c r="R16" s="16" t="str">
        <x:v>R01</x:v>
      </x:c>
      <x:c r="S16" s="19" t="n">
        <x:f>SUM(Y16:AB16)</x:f>
        <x:v>18</x:v>
      </x:c>
      <x:c r="T16" s="12" t="n">
        <x:f>WORKDAY('项目总表'!$B$15-1,AL16)</x:f>
        <x:v>46322</x:v>
      </x:c>
      <x:c r="U16" s="12" t="n">
        <x:f>WORKDAY(T16-1,Q16)</x:f>
        <x:v>46324</x:v>
      </x:c>
      <x:c r="V16" s="9" t="str">
        <x:v>AC-05, AC-08, AC-13</x:v>
      </x:c>
      <x:c r="W16" s="9" t="str">
        <x:v>认证、范围鉴权与TOTP复用成熟库，人工复核；仿真假设成熟组件和自动化工具辅助使开发工作量为独立手写初估的50%，仍保留人工复核，非已完成代码复用</x:v>
      </x:c>
      <x:c r="X16" s="9" t="str">
        <x:v>仿真计划，未执行</x:v>
      </x:c>
      <x:c r="Y16" s="34" t="n">
        <x:f>AM16*'项目总表'!$B$53</x:f>
        <x:v>9</x:v>
      </x:c>
      <x:c r="Z16" s="34" t="n">
        <x:f>AN16*'项目总表'!$B$53</x:f>
        <x:v>3</x:v>
      </x:c>
      <x:c r="AA16" s="34" t="n">
        <x:f>AO16*'项目总表'!$B$53</x:f>
        <x:v>4</x:v>
      </x:c>
      <x:c r="AB16" s="34" t="n">
        <x:f>AP16*'项目总表'!$B$53</x:f>
        <x:v>2</x:v>
      </x:c>
      <x:c r="AC16" s="34" t="n">
        <x:f>Y16*'资源计划'!$F$8+Z16*'资源计划'!$F$9+AA16*'资源计划'!$F$10+AB16*'资源计划'!$F$11</x:f>
        <x:v>1840</x:v>
      </x:c>
      <x:c r="AD16" s="29" t="str">
        <x:v>高</x:v>
      </x:c>
      <x:c r="AE16" s="29" t="str">
        <x:v>自下而上估算：按WBS活动分资源人时×仿真费率汇总；复杂度、复用条件和工作量假设逐轮复核。认证、范围鉴权与TOTP复用成熟库，人工复核；仿真假设成熟组件和自动化工具辅助使开发工作量为独立手写初估的50%，仍保留人工复核，非已完成代码复用</x:v>
      </x:c>
      <x:c r="AF16" s="29" t="str">
        <x:v>否</x:v>
      </x:c>
      <x:c r="AG16" s="33" t="n">
        <x:v>9</x:v>
      </x:c>
      <x:c r="AH16" s="33" t="n">
        <x:f>Y16/Q16</x:f>
        <x:v>3</x:v>
      </x:c>
      <x:c r="AI16" s="33" t="n">
        <x:f>Z16/Q16</x:f>
        <x:v>1</x:v>
      </x:c>
      <x:c r="AJ16" s="33" t="n">
        <x:f>AA16/Q16</x:f>
        <x:v>1.3333333333333333</x:v>
      </x:c>
      <x:c r="AK16" s="33" t="n">
        <x:f>AB16/Q16</x:f>
        <x:v>0.6666666666666666</x:v>
      </x:c>
      <x:c r="AL16" s="41" t="n">
        <x:v>7</x:v>
      </x:c>
      <x:c r="AM16" s="33" t="n">
        <x:v>18</x:v>
      </x:c>
      <x:c r="AN16" s="33" t="n">
        <x:v>6</x:v>
      </x:c>
      <x:c r="AO16" s="33" t="n">
        <x:v>8</x:v>
      </x:c>
      <x:c r="AP16" s="33" t="n">
        <x:v>4</x:v>
      </x:c>
    </x:row>
    <x:row r="17" ht="72" customHeight="1">
      <x:c r="A17" s="16" t="str">
        <x:v>T3.3</x:v>
      </x:c>
      <x:c r="B17" s="16" t="str">
        <x:v>实现字典、地区和基准管理</x:v>
      </x:c>
      <x:c r="C17" s="16" t="str">
        <x:v>FR-28</x:v>
      </x:c>
      <x:c r="D17" s="16" t="str">
        <x:v>T2.2FS; T3.1FS</x:v>
      </x:c>
      <x:c r="E17" s="17" t="n">
        <x:f>INT((T17-'项目总表'!$B$15)/7)+1</x:f>
        <x:v>2</x:v>
      </x:c>
      <x:c r="F17" s="17" t="n">
        <x:f>INT((U17-'项目总表'!$B$15)/7)+1</x:f>
        <x:v>2</x:v>
      </x:c>
      <x:c r="G17" s="17" t="str">
        <x:f>IF(COUNT($E17:$F17)&lt;2,"",IF(AND(G$6&gt;=$E17,G$6&lt;=$F17),"■",""))</x:f>
      </x:c>
      <x:c r="H17" s="17" t="str">
        <x:f>IF(COUNT($E17:$F17)&lt;2,"",IF(AND(H$6&gt;=$E17,H$6&lt;=$F17),"■",""))</x:f>
        <x:v>■</x:v>
      </x:c>
      <x:c r="I17" s="17" t="str">
        <x:f>IF(COUNT($E17:$F17)&lt;2,"",IF(AND(I$6&gt;=$E17,I$6&lt;=$F17),"■",""))</x:f>
      </x:c>
      <x:c r="J17" s="17" t="str">
        <x:f>IF(COUNT($E17:$F17)&lt;2,"",IF(AND(J$6&gt;=$E17,J$6&lt;=$F17),"■",""))</x:f>
      </x:c>
      <x:c r="K17" s="17" t="str">
        <x:f>IF(COUNT($E17:$F17)&lt;2,"",IF(AND(K$6&gt;=$E17,K$6&lt;=$F17),"■",""))</x:f>
      </x:c>
      <x:c r="L17" s="17" t="str">
        <x:f>IF(COUNT($E17:$F17)&lt;2,"",IF(AND(L$6&gt;=$E17,L$6&lt;=$F17),"■",""))</x:f>
      </x:c>
      <x:c r="M17" s="17" t="str">
        <x:f>IF(COUNT($E17:$F17)&lt;2,"",IF(AND(M$6&gt;=$E17,M$6&lt;=$F17),"■",""))</x:f>
      </x:c>
      <x:c r="N17" s="17" t="str">
        <x:f>IF(COUNT($E17:$F17)&lt;2,"",IF(AND(N$6&gt;=$E17,N$6&lt;=$F17),"■",""))</x:f>
      </x:c>
      <x:c r="O17" s="9" t="str">
        <x:v>开发</x:v>
      </x:c>
      <x:c r="P17" s="9" t="str">
        <x:v>字典地区种子与基准版本功能</x:v>
      </x:c>
      <x:c r="Q17" s="19" t="n">
        <x:v>2</x:v>
      </x:c>
      <x:c r="R17" s="16" t="str">
        <x:v>R02</x:v>
      </x:c>
      <x:c r="S17" s="19" t="n">
        <x:f>SUM(Y17:AB17)</x:f>
        <x:v>9</x:v>
      </x:c>
      <x:c r="T17" s="12" t="n">
        <x:f>WORKDAY('项目总表'!$B$15-1,AL17)</x:f>
        <x:v>46322</x:v>
      </x:c>
      <x:c r="U17" s="12" t="n">
        <x:f>WORKDAY(T17-1,Q17)</x:f>
        <x:v>46323</x:v>
      </x:c>
      <x:c r="V17" s="9" t="str">
        <x:v>AC-01, AC-03</x:v>
      </x:c>
      <x:c r="W17" s="9" t="str">
        <x:v>字典及地区种子、基准版本维护；仿真假设成熟组件和自动化工具辅助使开发工作量为独立手写初估的50%，仍保留人工复核，非已完成代码复用</x:v>
      </x:c>
      <x:c r="X17" s="9" t="str">
        <x:v>仿真计划，未执行</x:v>
      </x:c>
      <x:c r="Y17" s="34" t="n">
        <x:f>AM17*'项目总表'!$B$53</x:f>
        <x:v>0</x:v>
      </x:c>
      <x:c r="Z17" s="34" t="n">
        <x:f>AN17*'项目总表'!$B$53</x:f>
        <x:v>6</x:v>
      </x:c>
      <x:c r="AA17" s="34" t="n">
        <x:f>AO17*'项目总表'!$B$53</x:f>
        <x:v>3</x:v>
      </x:c>
      <x:c r="AB17" s="34" t="n">
        <x:f>AP17*'项目总表'!$B$53</x:f>
        <x:v>0</x:v>
      </x:c>
      <x:c r="AC17" s="34" t="n">
        <x:f>Y17*'资源计划'!$F$8+Z17*'资源计划'!$F$9+AA17*'资源计划'!$F$10+AB17*'资源计划'!$F$11</x:f>
        <x:v>1020</x:v>
      </x:c>
      <x:c r="AD17" s="29" t="str">
        <x:v>中</x:v>
      </x:c>
      <x:c r="AE17" s="29" t="str">
        <x:v>自下而上估算：按WBS活动分资源人时×仿真费率汇总；复杂度、复用条件和工作量假设逐轮复核。字典及地区种子、基准版本维护；仿真假设成熟组件和自动化工具辅助使开发工作量为独立手写初估的50%，仍保留人工复核，非已完成代码复用</x:v>
      </x:c>
      <x:c r="AF17" s="29" t="str">
        <x:v>否</x:v>
      </x:c>
      <x:c r="AG17" s="33" t="n">
        <x:v>10</x:v>
      </x:c>
      <x:c r="AH17" s="33" t="n">
        <x:f>Y17/Q17</x:f>
        <x:v>0</x:v>
      </x:c>
      <x:c r="AI17" s="33" t="n">
        <x:f>Z17/Q17</x:f>
        <x:v>3</x:v>
      </x:c>
      <x:c r="AJ17" s="33" t="n">
        <x:f>AA17/Q17</x:f>
        <x:v>1.5</x:v>
      </x:c>
      <x:c r="AK17" s="33" t="n">
        <x:f>AB17/Q17</x:f>
        <x:v>0</x:v>
      </x:c>
      <x:c r="AL17" s="41" t="n">
        <x:v>7</x:v>
      </x:c>
      <x:c r="AM17" s="33" t="n">
        <x:v>0</x:v>
      </x:c>
      <x:c r="AN17" s="33" t="n">
        <x:v>12</x:v>
      </x:c>
      <x:c r="AO17" s="33" t="n">
        <x:v>6</x:v>
      </x:c>
      <x:c r="AP17" s="33" t="n">
        <x:v>0</x:v>
      </x:c>
    </x:row>
    <x:row r="18" ht="72" customHeight="1">
      <x:c r="A18" s="16" t="str">
        <x:v>T3.4</x:v>
      </x:c>
      <x:c r="B18" s="16" t="str">
        <x:v>实现企业资料与备案审批</x:v>
      </x:c>
      <x:c r="C18" s="16" t="str">
        <x:v>FR-02, FR-03, FR-09</x:v>
      </x:c>
      <x:c r="D18" s="16" t="str">
        <x:v>T3.2FS; T3.3FS</x:v>
      </x:c>
      <x:c r="E18" s="17" t="n">
        <x:f>INT((T18-'项目总表'!$B$15)/7)+1</x:f>
        <x:v>2</x:v>
      </x:c>
      <x:c r="F18" s="17" t="n">
        <x:f>INT((U18-'项目总表'!$B$15)/7)+1</x:f>
        <x:v>3</x:v>
      </x:c>
      <x:c r="G18" s="17" t="str">
        <x:f>IF(COUNT($E18:$F18)&lt;2,"",IF(AND(G$6&gt;=$E18,G$6&lt;=$F18),"■",""))</x:f>
      </x:c>
      <x:c r="H18" s="17" t="str">
        <x:f>IF(COUNT($E18:$F18)&lt;2,"",IF(AND(H$6&gt;=$E18,H$6&lt;=$F18),"■",""))</x:f>
        <x:v>■</x:v>
      </x:c>
      <x:c r="I18" s="17" t="str">
        <x:f>IF(COUNT($E18:$F18)&lt;2,"",IF(AND(I$6&gt;=$E18,I$6&lt;=$F18),"■",""))</x:f>
        <x:v>■</x:v>
      </x:c>
      <x:c r="J18" s="17" t="str">
        <x:f>IF(COUNT($E18:$F18)&lt;2,"",IF(AND(J$6&gt;=$E18,J$6&lt;=$F18),"■",""))</x:f>
      </x:c>
      <x:c r="K18" s="17" t="str">
        <x:f>IF(COUNT($E18:$F18)&lt;2,"",IF(AND(K$6&gt;=$E18,K$6&lt;=$F18),"■",""))</x:f>
      </x:c>
      <x:c r="L18" s="17" t="str">
        <x:f>IF(COUNT($E18:$F18)&lt;2,"",IF(AND(L$6&gt;=$E18,L$6&lt;=$F18),"■",""))</x:f>
      </x:c>
      <x:c r="M18" s="17" t="str">
        <x:f>IF(COUNT($E18:$F18)&lt;2,"",IF(AND(M$6&gt;=$E18,M$6&lt;=$F18),"■",""))</x:f>
      </x:c>
      <x:c r="N18" s="17" t="str">
        <x:f>IF(COUNT($E18:$F18)&lt;2,"",IF(AND(N$6&gt;=$E18,N$6&lt;=$F18),"■",""))</x:f>
      </x:c>
      <x:c r="O18" s="9" t="str">
        <x:v>开发</x:v>
      </x:c>
      <x:c r="P18" s="9" t="str">
        <x:v>资料草稿、变更备案与版本查询</x:v>
      </x:c>
      <x:c r="Q18" s="19" t="n">
        <x:v>3</x:v>
      </x:c>
      <x:c r="R18" s="16" t="str">
        <x:v>R02</x:v>
      </x:c>
      <x:c r="S18" s="19" t="n">
        <x:f>SUM(Y18:AB18)</x:f>
        <x:v>26</x:v>
      </x:c>
      <x:c r="T18" s="12" t="n">
        <x:f>WORKDAY('项目总表'!$B$15-1,AL18)</x:f>
        <x:v>46325</x:v>
      </x:c>
      <x:c r="U18" s="12" t="n">
        <x:f>WORKDAY(T18-1,Q18)</x:f>
        <x:v>46329</x:v>
      </x:c>
      <x:c r="V18" s="9" t="str">
        <x:v>AC-01, AC-06</x:v>
      </x:c>
      <x:c r="W18" s="9" t="str">
        <x:v>资料备案状态链、变更版本和审批界面；仿真假设成熟组件和自动化工具辅助使开发工作量为独立手写初估的50%，仍保留人工复核，非已完成代码复用</x:v>
      </x:c>
      <x:c r="X18" s="9" t="str">
        <x:v>仿真计划，未执行</x:v>
      </x:c>
      <x:c r="Y18" s="34" t="n">
        <x:f>AM18*'项目总表'!$B$53</x:f>
        <x:v>6</x:v>
      </x:c>
      <x:c r="Z18" s="34" t="n">
        <x:f>AN18*'项目总表'!$B$53</x:f>
        <x:v>9</x:v>
      </x:c>
      <x:c r="AA18" s="34" t="n">
        <x:f>AO18*'项目总表'!$B$53</x:f>
        <x:v>9</x:v>
      </x:c>
      <x:c r="AB18" s="34" t="n">
        <x:f>AP18*'项目总表'!$B$53</x:f>
        <x:v>2</x:v>
      </x:c>
      <x:c r="AC18" s="34" t="n">
        <x:f>Y18*'资源计划'!$F$8+Z18*'资源计划'!$F$9+AA18*'资源计划'!$F$10+AB18*'资源计划'!$F$11</x:f>
        <x:v>2760</x:v>
      </x:c>
      <x:c r="AD18" s="29" t="str">
        <x:v>高</x:v>
      </x:c>
      <x:c r="AE18" s="29" t="str">
        <x:v>自下而上估算：按WBS活动分资源人时×仿真费率汇总；复杂度、复用条件和工作量假设逐轮复核。资料备案状态链、变更版本和审批界面；仿真假设成熟组件和自动化工具辅助使开发工作量为独立手写初估的50%，仍保留人工复核，非已完成代码复用</x:v>
      </x:c>
      <x:c r="AF18" s="29" t="str">
        <x:v>否</x:v>
      </x:c>
      <x:c r="AG18" s="33" t="n">
        <x:v>10</x:v>
      </x:c>
      <x:c r="AH18" s="33" t="n">
        <x:f>Y18/Q18</x:f>
        <x:v>2</x:v>
      </x:c>
      <x:c r="AI18" s="33" t="n">
        <x:f>Z18/Q18</x:f>
        <x:v>3</x:v>
      </x:c>
      <x:c r="AJ18" s="33" t="n">
        <x:f>AA18/Q18</x:f>
        <x:v>3</x:v>
      </x:c>
      <x:c r="AK18" s="33" t="n">
        <x:f>AB18/Q18</x:f>
        <x:v>0.6666666666666666</x:v>
      </x:c>
      <x:c r="AL18" s="41" t="n">
        <x:v>10</x:v>
      </x:c>
      <x:c r="AM18" s="33" t="n">
        <x:v>12</x:v>
      </x:c>
      <x:c r="AN18" s="33" t="n">
        <x:v>18</x:v>
      </x:c>
      <x:c r="AO18" s="33" t="n">
        <x:v>18</x:v>
      </x:c>
      <x:c r="AP18" s="33" t="n">
        <x:v>4</x:v>
      </x:c>
    </x:row>
    <x:row r="19" ht="72" customHeight="1">
      <x:c r="A19" s="16" t="str">
        <x:v>T3.5</x:v>
      </x:c>
      <x:c r="B19" s="16" t="str">
        <x:v>实现月报草稿、校验与提交</x:v>
      </x:c>
      <x:c r="C19" s="16" t="str">
        <x:v>FR-04, FR-05, NFR-09, IF-02</x:v>
      </x:c>
      <x:c r="D19" s="16" t="str">
        <x:v>T3.4SS+1d; T3.7FS</x:v>
      </x:c>
      <x:c r="E19" s="17" t="n">
        <x:f>INT((T19-'项目总表'!$B$15)/7)+1</x:f>
        <x:v>3</x:v>
      </x:c>
      <x:c r="F19" s="17" t="n">
        <x:f>INT((U19-'项目总表'!$B$15)/7)+1</x:f>
        <x:v>3</x:v>
      </x:c>
      <x:c r="G19" s="17" t="str">
        <x:f>IF(COUNT($E19:$F19)&lt;2,"",IF(AND(G$6&gt;=$E19,G$6&lt;=$F19),"■",""))</x:f>
      </x:c>
      <x:c r="H19" s="17" t="str">
        <x:f>IF(COUNT($E19:$F19)&lt;2,"",IF(AND(H$6&gt;=$E19,H$6&lt;=$F19),"■",""))</x:f>
      </x:c>
      <x:c r="I19" s="17" t="str">
        <x:f>IF(COUNT($E19:$F19)&lt;2,"",IF(AND(I$6&gt;=$E19,I$6&lt;=$F19),"■",""))</x:f>
        <x:v>■</x:v>
      </x:c>
      <x:c r="J19" s="17" t="str">
        <x:f>IF(COUNT($E19:$F19)&lt;2,"",IF(AND(J$6&gt;=$E19,J$6&lt;=$F19),"■",""))</x:f>
      </x:c>
      <x:c r="K19" s="17" t="str">
        <x:f>IF(COUNT($E19:$F19)&lt;2,"",IF(AND(K$6&gt;=$E19,K$6&lt;=$F19),"■",""))</x:f>
      </x:c>
      <x:c r="L19" s="17" t="str">
        <x:f>IF(COUNT($E19:$F19)&lt;2,"",IF(AND(L$6&gt;=$E19,L$6&lt;=$F19),"■",""))</x:f>
      </x:c>
      <x:c r="M19" s="17" t="str">
        <x:f>IF(COUNT($E19:$F19)&lt;2,"",IF(AND(M$6&gt;=$E19,M$6&lt;=$F19),"■",""))</x:f>
      </x:c>
      <x:c r="N19" s="17" t="str">
        <x:f>IF(COUNT($E19:$F19)&lt;2,"",IF(AND(N$6&gt;=$E19,N$6&lt;=$F19),"■",""))</x:f>
      </x:c>
      <x:c r="O19" s="9" t="str">
        <x:v>开发</x:v>
      </x:c>
      <x:c r="P19" s="9" t="str">
        <x:v>月报、幂等提交与冻结快照</x:v>
      </x:c>
      <x:c r="Q19" s="19" t="n">
        <x:v>3</x:v>
      </x:c>
      <x:c r="R19" s="16" t="str">
        <x:v>R02</x:v>
      </x:c>
      <x:c r="S19" s="19" t="n">
        <x:f>SUM(Y19:AB19)</x:f>
        <x:v>27</x:v>
      </x:c>
      <x:c r="T19" s="12" t="n">
        <x:f>WORKDAY('项目总表'!$B$15-1,AL19)</x:f>
        <x:v>46329</x:v>
      </x:c>
      <x:c r="U19" s="12" t="n">
        <x:f>WORKDAY(T19-1,Q19)</x:f>
        <x:v>46331</x:v>
      </x:c>
      <x:c r="V19" s="9" t="str">
        <x:v>AC-02</x:v>
      </x:c>
      <x:c r="W19" s="9" t="str">
        <x:v>月报校验、幂等提交、版本与冻结快照；仿真假设成熟组件和自动化工具辅助使开发工作量为独立手写初估的50%，仍保留人工复核，非已完成代码复用；已确认SRS接口后先交付内部接口骨架，模块重叠编码；集成和验收等待全部相关模块完成</x:v>
      </x:c>
      <x:c r="X19" s="9" t="str">
        <x:v>仿真计划，未执行</x:v>
      </x:c>
      <x:c r="Y19" s="34" t="n">
        <x:f>AM19*'项目总表'!$B$53</x:f>
        <x:v>7</x:v>
      </x:c>
      <x:c r="Z19" s="34" t="n">
        <x:f>AN19*'项目总表'!$B$53</x:f>
        <x:v>9</x:v>
      </x:c>
      <x:c r="AA19" s="34" t="n">
        <x:f>AO19*'项目总表'!$B$53</x:f>
        <x:v>9</x:v>
      </x:c>
      <x:c r="AB19" s="34" t="n">
        <x:f>AP19*'项目总表'!$B$53</x:f>
        <x:v>2</x:v>
      </x:c>
      <x:c r="AC19" s="34" t="n">
        <x:f>Y19*'资源计划'!$F$8+Z19*'资源计划'!$F$9+AA19*'资源计划'!$F$10+AB19*'资源计划'!$F$11</x:f>
        <x:v>2860</x:v>
      </x:c>
      <x:c r="AD19" s="29" t="str">
        <x:v>高</x:v>
      </x:c>
      <x:c r="AE19" s="29" t="str">
        <x:v>自下而上估算：按WBS活动分资源人时×仿真费率汇总；复杂度、复用条件和工作量假设逐轮复核。月报校验、幂等提交、版本与冻结快照；仿真假设成熟组件和自动化工具辅助使开发工作量为独立手写初估的50%，仍保留人工复核，非已完成代码复用；已确认SRS接口后先交付内部接口骨架，模块重叠编码；集成和验收等待全部相关模块完成</x:v>
      </x:c>
      <x:c r="AF19" s="29" t="str">
        <x:v>否</x:v>
      </x:c>
      <x:c r="AG19" s="33" t="n">
        <x:v>9</x:v>
      </x:c>
      <x:c r="AH19" s="33" t="n">
        <x:f>Y19/Q19</x:f>
        <x:v>2.3333333333333335</x:v>
      </x:c>
      <x:c r="AI19" s="33" t="n">
        <x:f>Z19/Q19</x:f>
        <x:v>3</x:v>
      </x:c>
      <x:c r="AJ19" s="33" t="n">
        <x:f>AA19/Q19</x:f>
        <x:v>3</x:v>
      </x:c>
      <x:c r="AK19" s="33" t="n">
        <x:f>AB19/Q19</x:f>
        <x:v>0.6666666666666666</x:v>
      </x:c>
      <x:c r="AL19" s="41" t="n">
        <x:v>12</x:v>
      </x:c>
      <x:c r="AM19" s="33" t="n">
        <x:v>14</x:v>
      </x:c>
      <x:c r="AN19" s="33" t="n">
        <x:v>18</x:v>
      </x:c>
      <x:c r="AO19" s="33" t="n">
        <x:v>18</x:v>
      </x:c>
      <x:c r="AP19" s="33" t="n">
        <x:v>4</x:v>
      </x:c>
    </x:row>
    <x:row r="20" ht="72" customHeight="1">
      <x:c r="A20" s="16" t="str">
        <x:v>T3.6</x:v>
      </x:c>
      <x:c r="B20" s="16" t="str">
        <x:v>实现市省审核与退回重提</x:v>
      </x:c>
      <x:c r="C20" s="16" t="str">
        <x:v>FR-07, FR-08, FR-10, FR-11</x:v>
      </x:c>
      <x:c r="D20" s="16" t="str">
        <x:v>T3.5SS+1d</x:v>
      </x:c>
      <x:c r="E20" s="17" t="n">
        <x:f>INT((T20-'项目总表'!$B$15)/7)+1</x:f>
        <x:v>3</x:v>
      </x:c>
      <x:c r="F20" s="17" t="n">
        <x:f>INT((U20-'项目总表'!$B$15)/7)+1</x:f>
        <x:v>3</x:v>
      </x:c>
      <x:c r="G20" s="17" t="str">
        <x:f>IF(COUNT($E20:$F20)&lt;2,"",IF(AND(G$6&gt;=$E20,G$6&lt;=$F20),"■",""))</x:f>
      </x:c>
      <x:c r="H20" s="17" t="str">
        <x:f>IF(COUNT($E20:$F20)&lt;2,"",IF(AND(H$6&gt;=$E20,H$6&lt;=$F20),"■",""))</x:f>
      </x:c>
      <x:c r="I20" s="17" t="str">
        <x:f>IF(COUNT($E20:$F20)&lt;2,"",IF(AND(I$6&gt;=$E20,I$6&lt;=$F20),"■",""))</x:f>
        <x:v>■</x:v>
      </x:c>
      <x:c r="J20" s="17" t="str">
        <x:f>IF(COUNT($E20:$F20)&lt;2,"",IF(AND(J$6&gt;=$E20,J$6&lt;=$F20),"■",""))</x:f>
      </x:c>
      <x:c r="K20" s="17" t="str">
        <x:f>IF(COUNT($E20:$F20)&lt;2,"",IF(AND(K$6&gt;=$E20,K$6&lt;=$F20),"■",""))</x:f>
      </x:c>
      <x:c r="L20" s="17" t="str">
        <x:f>IF(COUNT($E20:$F20)&lt;2,"",IF(AND(L$6&gt;=$E20,L$6&lt;=$F20),"■",""))</x:f>
      </x:c>
      <x:c r="M20" s="17" t="str">
        <x:f>IF(COUNT($E20:$F20)&lt;2,"",IF(AND(M$6&gt;=$E20,M$6&lt;=$F20),"■",""))</x:f>
      </x:c>
      <x:c r="N20" s="17" t="str">
        <x:f>IF(COUNT($E20:$F20)&lt;2,"",IF(AND(N$6&gt;=$E20,N$6&lt;=$F20),"■",""))</x:f>
      </x:c>
      <x:c r="O20" s="9" t="str">
        <x:v>开发</x:v>
      </x:c>
      <x:c r="P20" s="9" t="str">
        <x:v>审核状态链、退回重提与审计</x:v>
      </x:c>
      <x:c r="Q20" s="19" t="n">
        <x:v>2</x:v>
      </x:c>
      <x:c r="R20" s="16" t="str">
        <x:v>R02</x:v>
      </x:c>
      <x:c r="S20" s="19" t="n">
        <x:f>SUM(Y20:AB20)</x:f>
        <x:v>19</x:v>
      </x:c>
      <x:c r="T20" s="12" t="n">
        <x:f>WORKDAY('项目总表'!$B$15-1,AL20)</x:f>
        <x:v>46330</x:v>
      </x:c>
      <x:c r="U20" s="12" t="n">
        <x:f>WORKDAY(T20-1,Q20)</x:f>
        <x:v>46331</x:v>
      </x:c>
      <x:c r="V20" s="9" t="str">
        <x:v>AC-03, AC-05</x:v>
      </x:c>
      <x:c r="W20" s="9" t="str">
        <x:v>市省审核、退回与补报状态转换；仿真假设成熟组件和自动化工具辅助使开发工作量为独立手写初估的50%，仍保留人工复核，非已完成代码复用；已确认SRS接口后先交付内部接口骨架，模块重叠编码；集成和验收等待全部相关模块完成</x:v>
      </x:c>
      <x:c r="X20" s="9" t="str">
        <x:v>仿真计划，未执行</x:v>
      </x:c>
      <x:c r="Y20" s="34" t="n">
        <x:f>AM20*'项目总表'!$B$53</x:f>
        <x:v>5</x:v>
      </x:c>
      <x:c r="Z20" s="34" t="n">
        <x:f>AN20*'项目总表'!$B$53</x:f>
        <x:v>6</x:v>
      </x:c>
      <x:c r="AA20" s="34" t="n">
        <x:f>AO20*'项目总表'!$B$53</x:f>
        <x:v>6</x:v>
      </x:c>
      <x:c r="AB20" s="34" t="n">
        <x:f>AP20*'项目总表'!$B$53</x:f>
        <x:v>2</x:v>
      </x:c>
      <x:c r="AC20" s="34" t="n">
        <x:f>Y20*'资源计划'!$F$8+Z20*'资源计划'!$F$9+AA20*'资源计划'!$F$10+AB20*'资源计划'!$F$11</x:f>
        <x:v>2000</x:v>
      </x:c>
      <x:c r="AD20" s="29" t="str">
        <x:v>高</x:v>
      </x:c>
      <x:c r="AE20" s="29" t="str">
        <x:v>自下而上估算：按WBS活动分资源人时×仿真费率汇总；复杂度、复用条件和工作量假设逐轮复核。市省审核、退回与补报状态转换；仿真假设成熟组件和自动化工具辅助使开发工作量为独立手写初估的50%，仍保留人工复核，非已完成代码复用；已确认SRS接口后先交付内部接口骨架，模块重叠编码；集成和验收等待全部相关模块完成</x:v>
      </x:c>
      <x:c r="AF20" s="29" t="str">
        <x:v>否</x:v>
      </x:c>
      <x:c r="AG20" s="33" t="n">
        <x:v>9</x:v>
      </x:c>
      <x:c r="AH20" s="33" t="n">
        <x:f>Y20/Q20</x:f>
        <x:v>2.5</x:v>
      </x:c>
      <x:c r="AI20" s="33" t="n">
        <x:f>Z20/Q20</x:f>
        <x:v>3</x:v>
      </x:c>
      <x:c r="AJ20" s="33" t="n">
        <x:f>AA20/Q20</x:f>
        <x:v>3</x:v>
      </x:c>
      <x:c r="AK20" s="33" t="n">
        <x:f>AB20/Q20</x:f>
        <x:v>1</x:v>
      </x:c>
      <x:c r="AL20" s="41" t="n">
        <x:v>13</x:v>
      </x:c>
      <x:c r="AM20" s="33" t="n">
        <x:v>10</x:v>
      </x:c>
      <x:c r="AN20" s="33" t="n">
        <x:v>12</x:v>
      </x:c>
      <x:c r="AO20" s="33" t="n">
        <x:v>12</x:v>
      </x:c>
      <x:c r="AP20" s="33" t="n">
        <x:v>4</x:v>
      </x:c>
    </x:row>
    <x:row r="21" ht="72" customHeight="1">
      <x:c r="A21" s="16" t="str">
        <x:v>T3.7</x:v>
      </x:c>
      <x:c r="B21" s="16" t="str">
        <x:v>实现调查期与补报授权</x:v>
      </x:c>
      <x:c r="C21" s="16" t="str">
        <x:v>FR-21, FR-11</x:v>
      </x:c>
      <x:c r="D21" s="16" t="str">
        <x:v>T3.2FS; T3.3FS</x:v>
      </x:c>
      <x:c r="E21" s="17" t="n">
        <x:f>INT((T21-'项目总表'!$B$15)/7)+1</x:f>
        <x:v>2</x:v>
      </x:c>
      <x:c r="F21" s="17" t="n">
        <x:f>INT((U21-'项目总表'!$B$15)/7)+1</x:f>
        <x:v>3</x:v>
      </x:c>
      <x:c r="G21" s="17" t="str">
        <x:f>IF(COUNT($E21:$F21)&lt;2,"",IF(AND(G$6&gt;=$E21,G$6&lt;=$F21),"■",""))</x:f>
      </x:c>
      <x:c r="H21" s="17" t="str">
        <x:f>IF(COUNT($E21:$F21)&lt;2,"",IF(AND(H$6&gt;=$E21,H$6&lt;=$F21),"■",""))</x:f>
        <x:v>■</x:v>
      </x:c>
      <x:c r="I21" s="17" t="str">
        <x:f>IF(COUNT($E21:$F21)&lt;2,"",IF(AND(I$6&gt;=$E21,I$6&lt;=$F21),"■",""))</x:f>
        <x:v>■</x:v>
      </x:c>
      <x:c r="J21" s="17" t="str">
        <x:f>IF(COUNT($E21:$F21)&lt;2,"",IF(AND(J$6&gt;=$E21,J$6&lt;=$F21),"■",""))</x:f>
      </x:c>
      <x:c r="K21" s="17" t="str">
        <x:f>IF(COUNT($E21:$F21)&lt;2,"",IF(AND(K$6&gt;=$E21,K$6&lt;=$F21),"■",""))</x:f>
      </x:c>
      <x:c r="L21" s="17" t="str">
        <x:f>IF(COUNT($E21:$F21)&lt;2,"",IF(AND(L$6&gt;=$E21,L$6&lt;=$F21),"■",""))</x:f>
      </x:c>
      <x:c r="M21" s="17" t="str">
        <x:f>IF(COUNT($E21:$F21)&lt;2,"",IF(AND(M$6&gt;=$E21,M$6&lt;=$F21),"■",""))</x:f>
      </x:c>
      <x:c r="N21" s="17" t="str">
        <x:f>IF(COUNT($E21:$F21)&lt;2,"",IF(AND(N$6&gt;=$E21,N$6&lt;=$F21),"■",""))</x:f>
      </x:c>
      <x:c r="O21" s="9" t="str">
        <x:v>开发</x:v>
      </x:c>
      <x:c r="P21" s="9" t="str">
        <x:v>调查期配置与补报窗口控制</x:v>
      </x:c>
      <x:c r="Q21" s="19" t="n">
        <x:v>2</x:v>
      </x:c>
      <x:c r="R21" s="16" t="str">
        <x:v>R01</x:v>
      </x:c>
      <x:c r="S21" s="19" t="n">
        <x:f>SUM(Y21:AB21)</x:f>
        <x:v>14</x:v>
      </x:c>
      <x:c r="T21" s="12" t="n">
        <x:f>WORKDAY('项目总表'!$B$15-1,AL21)</x:f>
        <x:v>46325</x:v>
      </x:c>
      <x:c r="U21" s="12" t="n">
        <x:f>WORKDAY(T21-1,Q21)</x:f>
        <x:v>46328</x:v>
      </x:c>
      <x:c r="V21" s="9" t="str">
        <x:v>AC-02, AC-03</x:v>
      </x:c>
      <x:c r="W21" s="9" t="str">
        <x:v>调查期、补报窗口及权限，复用状态基础；仿真假设成熟组件和自动化工具辅助使开发工作量为独立手写初估的50%，仍保留人工复核，非已完成代码复用</x:v>
      </x:c>
      <x:c r="X21" s="9" t="str">
        <x:v>仿真计划，未执行</x:v>
      </x:c>
      <x:c r="Y21" s="34" t="n">
        <x:f>AM21*'项目总表'!$B$53</x:f>
        <x:v>5</x:v>
      </x:c>
      <x:c r="Z21" s="34" t="n">
        <x:f>AN21*'项目总表'!$B$53</x:f>
        <x:v>5</x:v>
      </x:c>
      <x:c r="AA21" s="34" t="n">
        <x:f>AO21*'项目总表'!$B$53</x:f>
        <x:v>3</x:v>
      </x:c>
      <x:c r="AB21" s="34" t="n">
        <x:f>AP21*'项目总表'!$B$53</x:f>
        <x:v>1</x:v>
      </x:c>
      <x:c r="AC21" s="34" t="n">
        <x:f>Y21*'资源计划'!$F$8+Z21*'资源计划'!$F$9+AA21*'资源计划'!$F$10+AB21*'资源计划'!$F$11</x:f>
        <x:v>1490</x:v>
      </x:c>
      <x:c r="AD21" s="29" t="str">
        <x:v>高</x:v>
      </x:c>
      <x:c r="AE21" s="29" t="str">
        <x:v>自下而上估算：按WBS活动分资源人时×仿真费率汇总；复杂度、复用条件和工作量假设逐轮复核。调查期、补报窗口及权限，复用状态基础；仿真假设成熟组件和自动化工具辅助使开发工作量为独立手写初估的50%，仍保留人工复核，非已完成代码复用</x:v>
      </x:c>
      <x:c r="AF21" s="29" t="str">
        <x:v>否</x:v>
      </x:c>
      <x:c r="AG21" s="33" t="n">
        <x:v>9</x:v>
      </x:c>
      <x:c r="AH21" s="33" t="n">
        <x:f>Y21/Q21</x:f>
        <x:v>2.5</x:v>
      </x:c>
      <x:c r="AI21" s="33" t="n">
        <x:f>Z21/Q21</x:f>
        <x:v>2.5</x:v>
      </x:c>
      <x:c r="AJ21" s="33" t="n">
        <x:f>AA21/Q21</x:f>
        <x:v>1.5</x:v>
      </x:c>
      <x:c r="AK21" s="33" t="n">
        <x:f>AB21/Q21</x:f>
        <x:v>0.5</x:v>
      </x:c>
      <x:c r="AL21" s="41" t="n">
        <x:v>10</x:v>
      </x:c>
      <x:c r="AM21" s="33" t="n">
        <x:v>10</x:v>
      </x:c>
      <x:c r="AN21" s="33" t="n">
        <x:v>10</x:v>
      </x:c>
      <x:c r="AO21" s="33" t="n">
        <x:v>6</x:v>
      </x:c>
      <x:c r="AP21" s="33" t="n">
        <x:v>2</x:v>
      </x:c>
    </x:row>
    <x:row r="22" ht="72" customHeight="1">
      <x:c r="A22" s="16" t="str">
        <x:v>T3.8</x:v>
      </x:c>
      <x:c r="B22" s="16" t="str">
        <x:v>实现独立修订与撤销链</x:v>
      </x:c>
      <x:c r="C22" s="16" t="str">
        <x:v>FR-12, FR-27, NFR-09</x:v>
      </x:c>
      <x:c r="D22" s="16" t="str">
        <x:v>T3.6SS+1d; T2.2FS</x:v>
      </x:c>
      <x:c r="E22" s="17" t="n">
        <x:f>INT((T22-'项目总表'!$B$15)/7)+1</x:f>
        <x:v>3</x:v>
      </x:c>
      <x:c r="F22" s="17" t="n">
        <x:f>INT((U22-'项目总表'!$B$15)/7)+1</x:f>
        <x:v>4</x:v>
      </x:c>
      <x:c r="G22" s="17" t="str">
        <x:f>IF(COUNT($E22:$F22)&lt;2,"",IF(AND(G$6&gt;=$E22,G$6&lt;=$F22),"■",""))</x:f>
      </x:c>
      <x:c r="H22" s="17" t="str">
        <x:f>IF(COUNT($E22:$F22)&lt;2,"",IF(AND(H$6&gt;=$E22,H$6&lt;=$F22),"■",""))</x:f>
      </x:c>
      <x:c r="I22" s="17" t="str">
        <x:f>IF(COUNT($E22:$F22)&lt;2,"",IF(AND(I$6&gt;=$E22,I$6&lt;=$F22),"■",""))</x:f>
        <x:v>■</x:v>
      </x:c>
      <x:c r="J22" s="17" t="str">
        <x:f>IF(COUNT($E22:$F22)&lt;2,"",IF(AND(J$6&gt;=$E22,J$6&lt;=$F22),"■",""))</x:f>
        <x:v>■</x:v>
      </x:c>
      <x:c r="K22" s="17" t="str">
        <x:f>IF(COUNT($E22:$F22)&lt;2,"",IF(AND(K$6&gt;=$E22,K$6&lt;=$F22),"■",""))</x:f>
      </x:c>
      <x:c r="L22" s="17" t="str">
        <x:f>IF(COUNT($E22:$F22)&lt;2,"",IF(AND(L$6&gt;=$E22,L$6&lt;=$F22),"■",""))</x:f>
      </x:c>
      <x:c r="M22" s="17" t="str">
        <x:f>IF(COUNT($E22:$F22)&lt;2,"",IF(AND(M$6&gt;=$E22,M$6&lt;=$F22),"■",""))</x:f>
      </x:c>
      <x:c r="N22" s="17" t="str">
        <x:f>IF(COUNT($E22:$F22)&lt;2,"",IF(AND(N$6&gt;=$E22,N$6&lt;=$F22),"■",""))</x:f>
      </x:c>
      <x:c r="O22" s="9" t="str">
        <x:v>开发</x:v>
      </x:c>
      <x:c r="P22" s="9" t="str">
        <x:v>修订另存、生效、撤销与日志</x:v>
      </x:c>
      <x:c r="Q22" s="19" t="n">
        <x:v>3</x:v>
      </x:c>
      <x:c r="R22" s="16" t="str">
        <x:v>R01</x:v>
      </x:c>
      <x:c r="S22" s="19" t="n">
        <x:f>SUM(Y22:AB22)</x:f>
        <x:v>27</x:v>
      </x:c>
      <x:c r="T22" s="12" t="n">
        <x:f>WORKDAY('项目总表'!$B$15-1,AL22)</x:f>
        <x:v>46332</x:v>
      </x:c>
      <x:c r="U22" s="12" t="n">
        <x:f>WORKDAY(T22-1,Q22)</x:f>
        <x:v>46336</x:v>
      </x:c>
      <x:c r="V22" s="9" t="str">
        <x:v>AC-04, AC-09</x:v>
      </x:c>
      <x:c r="W22" s="9" t="str">
        <x:v>独立修订、生效与撤销事务、审计一致性；仿真假设成熟组件和自动化工具辅助使开发工作量为独立手写初估的50%，仍保留人工复核，非已完成代码复用；已确认SRS接口后先交付内部接口骨架，模块重叠编码；集成和验收等待全部相关模块完成</x:v>
      </x:c>
      <x:c r="X22" s="9" t="str">
        <x:v>仿真计划，未执行</x:v>
      </x:c>
      <x:c r="Y22" s="34" t="n">
        <x:f>AM22*'项目总表'!$B$53</x:f>
        <x:v>9</x:v>
      </x:c>
      <x:c r="Z22" s="34" t="n">
        <x:f>AN22*'项目总表'!$B$53</x:f>
        <x:v>9</x:v>
      </x:c>
      <x:c r="AA22" s="34" t="n">
        <x:f>AO22*'项目总表'!$B$53</x:f>
        <x:v>6</x:v>
      </x:c>
      <x:c r="AB22" s="34" t="n">
        <x:f>AP22*'项目总表'!$B$53</x:f>
        <x:v>3</x:v>
      </x:c>
      <x:c r="AC22" s="34" t="n">
        <x:f>Y22*'资源计划'!$F$8+Z22*'资源计划'!$F$9+AA22*'资源计划'!$F$10+AB22*'资源计划'!$F$11</x:f>
        <x:v>2850</x:v>
      </x:c>
      <x:c r="AD22" s="29" t="str">
        <x:v>高</x:v>
      </x:c>
      <x:c r="AE22" s="29" t="str">
        <x:v>自下而上估算：按WBS活动分资源人时×仿真费率汇总；复杂度、复用条件和工作量假设逐轮复核。独立修订、生效与撤销事务、审计一致性；仿真假设成熟组件和自动化工具辅助使开发工作量为独立手写初估的50%，仍保留人工复核，非已完成代码复用；已确认SRS接口后先交付内部接口骨架，模块重叠编码；集成和验收等待全部相关模块完成</x:v>
      </x:c>
      <x:c r="AF22" s="29" t="str">
        <x:v>否</x:v>
      </x:c>
      <x:c r="AG22" s="33" t="n">
        <x:v>8</x:v>
      </x:c>
      <x:c r="AH22" s="33" t="n">
        <x:f>Y22/Q22</x:f>
        <x:v>3</x:v>
      </x:c>
      <x:c r="AI22" s="33" t="n">
        <x:f>Z22/Q22</x:f>
        <x:v>3</x:v>
      </x:c>
      <x:c r="AJ22" s="33" t="n">
        <x:f>AA22/Q22</x:f>
        <x:v>2</x:v>
      </x:c>
      <x:c r="AK22" s="33" t="n">
        <x:f>AB22/Q22</x:f>
        <x:v>1</x:v>
      </x:c>
      <x:c r="AL22" s="41" t="n">
        <x:v>15</x:v>
      </x:c>
      <x:c r="AM22" s="33" t="n">
        <x:v>18</x:v>
      </x:c>
      <x:c r="AN22" s="33" t="n">
        <x:v>18</x:v>
      </x:c>
      <x:c r="AO22" s="33" t="n">
        <x:v>12</x:v>
      </x:c>
      <x:c r="AP22" s="33" t="n">
        <x:v>6</x:v>
      </x:c>
    </x:row>
    <x:row r="23" ht="72" customHeight="1">
      <x:c r="A23" s="16" t="str">
        <x:v>T3.9</x:v>
      </x:c>
      <x:c r="B23" s="16" t="str">
        <x:v>实现历史浏览和快照查询</x:v>
      </x:c>
      <x:c r="C23" s="16" t="str">
        <x:v>FR-06, FR-09</x:v>
      </x:c>
      <x:c r="D23" s="16" t="str">
        <x:v>T3.4FS; T3.5SS+1d</x:v>
      </x:c>
      <x:c r="E23" s="17" t="n">
        <x:f>INT((T23-'项目总表'!$B$15)/7)+1</x:f>
        <x:v>3</x:v>
      </x:c>
      <x:c r="F23" s="17" t="n">
        <x:f>INT((U23-'项目总表'!$B$15)/7)+1</x:f>
        <x:v>4</x:v>
      </x:c>
      <x:c r="G23" s="17" t="str">
        <x:f>IF(COUNT($E23:$F23)&lt;2,"",IF(AND(G$6&gt;=$E23,G$6&lt;=$F23),"■",""))</x:f>
      </x:c>
      <x:c r="H23" s="17" t="str">
        <x:f>IF(COUNT($E23:$F23)&lt;2,"",IF(AND(H$6&gt;=$E23,H$6&lt;=$F23),"■",""))</x:f>
      </x:c>
      <x:c r="I23" s="17" t="str">
        <x:f>IF(COUNT($E23:$F23)&lt;2,"",IF(AND(I$6&gt;=$E23,I$6&lt;=$F23),"■",""))</x:f>
        <x:v>■</x:v>
      </x:c>
      <x:c r="J23" s="17" t="str">
        <x:f>IF(COUNT($E23:$F23)&lt;2,"",IF(AND(J$6&gt;=$E23,J$6&lt;=$F23),"■",""))</x:f>
        <x:v>■</x:v>
      </x:c>
      <x:c r="K23" s="17" t="str">
        <x:f>IF(COUNT($E23:$F23)&lt;2,"",IF(AND(K$6&gt;=$E23,K$6&lt;=$F23),"■",""))</x:f>
      </x:c>
      <x:c r="L23" s="17" t="str">
        <x:f>IF(COUNT($E23:$F23)&lt;2,"",IF(AND(L$6&gt;=$E23,L$6&lt;=$F23),"■",""))</x:f>
      </x:c>
      <x:c r="M23" s="17" t="str">
        <x:f>IF(COUNT($E23:$F23)&lt;2,"",IF(AND(M$6&gt;=$E23,M$6&lt;=$F23),"■",""))</x:f>
      </x:c>
      <x:c r="N23" s="17" t="str">
        <x:f>IF(COUNT($E23:$F23)&lt;2,"",IF(AND(N$6&gt;=$E23,N$6&lt;=$F23),"■",""))</x:f>
      </x:c>
      <x:c r="O23" s="9" t="str">
        <x:v>开发</x:v>
      </x:c>
      <x:c r="P23" s="9" t="str">
        <x:v>历史版本与正式提交标记查询</x:v>
      </x:c>
      <x:c r="Q23" s="19" t="n">
        <x:v>2</x:v>
      </x:c>
      <x:c r="R23" s="16" t="str">
        <x:v>R03</x:v>
      </x:c>
      <x:c r="S23" s="19" t="n">
        <x:f>SUM(Y23:AB23)</x:f>
        <x:v>14</x:v>
      </x:c>
      <x:c r="T23" s="12" t="n">
        <x:f>WORKDAY('项目总表'!$B$15-1,AL23)</x:f>
        <x:v>46332</x:v>
      </x:c>
      <x:c r="U23" s="12" t="n">
        <x:f>WORKDAY(T23-1,Q23)</x:f>
        <x:v>46335</x:v>
      </x:c>
      <x:c r="V23" s="9" t="str">
        <x:v>AC-01, AC-05, AC-06</x:v>
      </x:c>
      <x:c r="W23" s="9" t="str">
        <x:v>历史查询和快照显示复用资料模块；仿真假设成熟组件和自动化工具辅助使开发工作量为独立手写初估的50%，仍保留人工复核，非已完成代码复用；已确认SRS接口后先交付内部接口骨架，模块重叠编码；集成和验收等待全部相关模块完成</x:v>
      </x:c>
      <x:c r="X23" s="9" t="str">
        <x:v>仿真计划，未执行</x:v>
      </x:c>
      <x:c r="Y23" s="34" t="n">
        <x:f>AM23*'项目总表'!$B$53</x:f>
        <x:v>2</x:v>
      </x:c>
      <x:c r="Z23" s="34" t="n">
        <x:f>AN23*'项目总表'!$B$53</x:f>
        <x:v>4</x:v>
      </x:c>
      <x:c r="AA23" s="34" t="n">
        <x:f>AO23*'项目总表'!$B$53</x:f>
        <x:v>6</x:v>
      </x:c>
      <x:c r="AB23" s="34" t="n">
        <x:f>AP23*'项目总表'!$B$53</x:f>
        <x:v>2</x:v>
      </x:c>
      <x:c r="AC23" s="34" t="n">
        <x:f>Y23*'资源计划'!$F$8+Z23*'资源计划'!$F$9+AA23*'资源计划'!$F$10+AB23*'资源计划'!$F$11</x:f>
        <x:v>1460</x:v>
      </x:c>
      <x:c r="AD23" s="29" t="str">
        <x:v>中</x:v>
      </x:c>
      <x:c r="AE23" s="29" t="str">
        <x:v>自下而上估算：按WBS活动分资源人时×仿真费率汇总；复杂度、复用条件和工作量假设逐轮复核。历史查询和快照显示复用资料模块；仿真假设成熟组件和自动化工具辅助使开发工作量为独立手写初估的50%，仍保留人工复核，非已完成代码复用；已确认SRS接口后先交付内部接口骨架，模块重叠编码；集成和验收等待全部相关模块完成</x:v>
      </x:c>
      <x:c r="AF23" s="29" t="str">
        <x:v>否</x:v>
      </x:c>
      <x:c r="AG23" s="33" t="n">
        <x:v>10</x:v>
      </x:c>
      <x:c r="AH23" s="33" t="n">
        <x:f>Y23/Q23</x:f>
        <x:v>1</x:v>
      </x:c>
      <x:c r="AI23" s="33" t="n">
        <x:f>Z23/Q23</x:f>
        <x:v>2</x:v>
      </x:c>
      <x:c r="AJ23" s="33" t="n">
        <x:f>AA23/Q23</x:f>
        <x:v>3</x:v>
      </x:c>
      <x:c r="AK23" s="33" t="n">
        <x:f>AB23/Q23</x:f>
        <x:v>1</x:v>
      </x:c>
      <x:c r="AL23" s="41" t="n">
        <x:v>15</x:v>
      </x:c>
      <x:c r="AM23" s="33" t="n">
        <x:v>4</x:v>
      </x:c>
      <x:c r="AN23" s="33" t="n">
        <x:v>8</x:v>
      </x:c>
      <x:c r="AO23" s="33" t="n">
        <x:v>12</x:v>
      </x:c>
      <x:c r="AP23" s="33" t="n">
        <x:v>4</x:v>
      </x:c>
    </x:row>
    <x:row r="24" ht="72" customHeight="1">
      <x:c r="A24" s="16" t="str">
        <x:v>T3.10</x:v>
      </x:c>
      <x:c r="B24" s="16" t="str">
        <x:v>实现汇总指标与统计口径</x:v>
      </x:c>
      <x:c r="C24" s="16" t="str">
        <x:v>FR-13</x:v>
      </x:c>
      <x:c r="D24" s="16" t="str">
        <x:v>T3.8SS+1d</x:v>
      </x:c>
      <x:c r="E24" s="17" t="n">
        <x:f>INT((T24-'项目总表'!$B$15)/7)+1</x:f>
        <x:v>4</x:v>
      </x:c>
      <x:c r="F24" s="17" t="n">
        <x:f>INT((U24-'项目总表'!$B$15)/7)+1</x:f>
        <x:v>4</x:v>
      </x:c>
      <x:c r="G24" s="17" t="str">
        <x:f>IF(COUNT($E24:$F24)&lt;2,"",IF(AND(G$6&gt;=$E24,G$6&lt;=$F24),"■",""))</x:f>
      </x:c>
      <x:c r="H24" s="17" t="str">
        <x:f>IF(COUNT($E24:$F24)&lt;2,"",IF(AND(H$6&gt;=$E24,H$6&lt;=$F24),"■",""))</x:f>
      </x:c>
      <x:c r="I24" s="17" t="str">
        <x:f>IF(COUNT($E24:$F24)&lt;2,"",IF(AND(I$6&gt;=$E24,I$6&lt;=$F24),"■",""))</x:f>
      </x:c>
      <x:c r="J24" s="17" t="str">
        <x:f>IF(COUNT($E24:$F24)&lt;2,"",IF(AND(J$6&gt;=$E24,J$6&lt;=$F24),"■",""))</x:f>
        <x:v>■</x:v>
      </x:c>
      <x:c r="K24" s="17" t="str">
        <x:f>IF(COUNT($E24:$F24)&lt;2,"",IF(AND(K$6&gt;=$E24,K$6&lt;=$F24),"■",""))</x:f>
      </x:c>
      <x:c r="L24" s="17" t="str">
        <x:f>IF(COUNT($E24:$F24)&lt;2,"",IF(AND(L$6&gt;=$E24,L$6&lt;=$F24),"■",""))</x:f>
      </x:c>
      <x:c r="M24" s="17" t="str">
        <x:f>IF(COUNT($E24:$F24)&lt;2,"",IF(AND(M$6&gt;=$E24,M$6&lt;=$F24),"■",""))</x:f>
      </x:c>
      <x:c r="N24" s="17" t="str">
        <x:f>IF(COUNT($E24:$F24)&lt;2,"",IF(AND(N$6&gt;=$E24,N$6&lt;=$F24),"■",""))</x:f>
      </x:c>
      <x:c r="O24" s="9" t="str">
        <x:v>开发</x:v>
      </x:c>
      <x:c r="P24" s="9" t="str">
        <x:v>原始/修订口径汇总与公式复算</x:v>
      </x:c>
      <x:c r="Q24" s="19" t="n">
        <x:v>2</x:v>
      </x:c>
      <x:c r="R24" s="16" t="str">
        <x:v>R02</x:v>
      </x:c>
      <x:c r="S24" s="19" t="n">
        <x:f>SUM(Y24:AB24)</x:f>
        <x:v>16</x:v>
      </x:c>
      <x:c r="T24" s="12" t="n">
        <x:f>WORKDAY('项目总表'!$B$15-1,AL24)</x:f>
        <x:v>46336</x:v>
      </x:c>
      <x:c r="U24" s="12" t="n">
        <x:f>WORKDAY(T24-1,Q24)</x:f>
        <x:v>46337</x:v>
      </x:c>
      <x:c r="V24" s="9" t="str">
        <x:v>AC-04, AC-07</x:v>
      </x:c>
      <x:c r="W24" s="9" t="str">
        <x:v>六指标、原始/修订口径及零分母规则；仿真假设成熟组件和自动化工具辅助使开发工作量为独立手写初估的50%，仍保留人工复核，非已完成代码复用；已确认SRS接口后先交付内部接口骨架，模块重叠编码；集成和验收等待全部相关模块完成</x:v>
      </x:c>
      <x:c r="X24" s="9" t="str">
        <x:v>仿真计划，未执行</x:v>
      </x:c>
      <x:c r="Y24" s="34" t="n">
        <x:f>AM24*'项目总表'!$B$53</x:f>
        <x:v>4</x:v>
      </x:c>
      <x:c r="Z24" s="34" t="n">
        <x:f>AN24*'项目总表'!$B$53</x:f>
        <x:v>6</x:v>
      </x:c>
      <x:c r="AA24" s="34" t="n">
        <x:f>AO24*'项目总表'!$B$53</x:f>
        <x:v>4</x:v>
      </x:c>
      <x:c r="AB24" s="34" t="n">
        <x:f>AP24*'项目总表'!$B$53</x:f>
        <x:v>2</x:v>
      </x:c>
      <x:c r="AC24" s="34" t="n">
        <x:f>Y24*'资源计划'!$F$8+Z24*'资源计划'!$F$9+AA24*'资源计划'!$F$10+AB24*'资源计划'!$F$11</x:f>
        <x:v>1700</x:v>
      </x:c>
      <x:c r="AD24" s="29" t="str">
        <x:v>高</x:v>
      </x:c>
      <x:c r="AE24" s="29" t="str">
        <x:v>自下而上估算：按WBS活动分资源人时×仿真费率汇总；复杂度、复用条件和工作量假设逐轮复核。六指标、原始/修订口径及零分母规则；仿真假设成熟组件和自动化工具辅助使开发工作量为独立手写初估的50%，仍保留人工复核，非已完成代码复用；已确认SRS接口后先交付内部接口骨架，模块重叠编码；集成和验收等待全部相关模块完成</x:v>
      </x:c>
      <x:c r="AF24" s="29" t="str">
        <x:v>否</x:v>
      </x:c>
      <x:c r="AG24" s="33" t="n">
        <x:v>8</x:v>
      </x:c>
      <x:c r="AH24" s="33" t="n">
        <x:f>Y24/Q24</x:f>
        <x:v>2</x:v>
      </x:c>
      <x:c r="AI24" s="33" t="n">
        <x:f>Z24/Q24</x:f>
        <x:v>3</x:v>
      </x:c>
      <x:c r="AJ24" s="33" t="n">
        <x:f>AA24/Q24</x:f>
        <x:v>2</x:v>
      </x:c>
      <x:c r="AK24" s="33" t="n">
        <x:f>AB24/Q24</x:f>
        <x:v>1</x:v>
      </x:c>
      <x:c r="AL24" s="41" t="n">
        <x:v>17</x:v>
      </x:c>
      <x:c r="AM24" s="33" t="n">
        <x:v>8</x:v>
      </x:c>
      <x:c r="AN24" s="33" t="n">
        <x:v>12</x:v>
      </x:c>
      <x:c r="AO24" s="33" t="n">
        <x:v>8</x:v>
      </x:c>
      <x:c r="AP24" s="33" t="n">
        <x:v>4</x:v>
      </x:c>
    </x:row>
    <x:row r="25" ht="87" customHeight="1">
      <x:c r="A25" s="16" t="str">
        <x:v>T3.11</x:v>
      </x:c>
      <x:c r="B25" s="16" t="str">
        <x:v>实现条件查询与XLSX导出</x:v>
      </x:c>
      <x:c r="C25" s="16" t="str">
        <x:v>FR-14, FR-15, IF-03</x:v>
      </x:c>
      <x:c r="D25" s="16" t="str">
        <x:v>T3.9SS+1d; T2.3FS</x:v>
      </x:c>
      <x:c r="E25" s="17" t="n">
        <x:f>INT((T25-'项目总表'!$B$15)/7)+1</x:f>
        <x:v>4</x:v>
      </x:c>
      <x:c r="F25" s="17" t="n">
        <x:f>INT((U25-'项目总表'!$B$15)/7)+1</x:f>
        <x:v>4</x:v>
      </x:c>
      <x:c r="G25" s="17" t="str">
        <x:f>IF(COUNT($E25:$F25)&lt;2,"",IF(AND(G$6&gt;=$E25,G$6&lt;=$F25),"■",""))</x:f>
      </x:c>
      <x:c r="H25" s="17" t="str">
        <x:f>IF(COUNT($E25:$F25)&lt;2,"",IF(AND(H$6&gt;=$E25,H$6&lt;=$F25),"■",""))</x:f>
      </x:c>
      <x:c r="I25" s="17" t="str">
        <x:f>IF(COUNT($E25:$F25)&lt;2,"",IF(AND(I$6&gt;=$E25,I$6&lt;=$F25),"■",""))</x:f>
      </x:c>
      <x:c r="J25" s="17" t="str">
        <x:f>IF(COUNT($E25:$F25)&lt;2,"",IF(AND(J$6&gt;=$E25,J$6&lt;=$F25),"■",""))</x:f>
        <x:v>■</x:v>
      </x:c>
      <x:c r="K25" s="17" t="str">
        <x:f>IF(COUNT($E25:$F25)&lt;2,"",IF(AND(K$6&gt;=$E25,K$6&lt;=$F25),"■",""))</x:f>
      </x:c>
      <x:c r="L25" s="17" t="str">
        <x:f>IF(COUNT($E25:$F25)&lt;2,"",IF(AND(L$6&gt;=$E25,L$6&lt;=$F25),"■",""))</x:f>
      </x:c>
      <x:c r="M25" s="17" t="str">
        <x:f>IF(COUNT($E25:$F25)&lt;2,"",IF(AND(M$6&gt;=$E25,M$6&lt;=$F25),"■",""))</x:f>
      </x:c>
      <x:c r="N25" s="17" t="str">
        <x:f>IF(COUNT($E25:$F25)&lt;2,"",IF(AND(N$6&gt;=$E25,N$6&lt;=$F25),"■",""))</x:f>
      </x:c>
      <x:c r="O25" s="9" t="str">
        <x:v>开发</x:v>
      </x:c>
      <x:c r="P25" s="9" t="str">
        <x:v>13条件查询、异步导出与鉴权下载</x:v>
      </x:c>
      <x:c r="Q25" s="19" t="n">
        <x:v>3</x:v>
      </x:c>
      <x:c r="R25" s="16" t="str">
        <x:v>R03</x:v>
      </x:c>
      <x:c r="S25" s="19" t="n">
        <x:f>SUM(Y25:AB25)</x:f>
        <x:v>21</x:v>
      </x:c>
      <x:c r="T25" s="12" t="n">
        <x:f>WORKDAY('项目总表'!$B$15-1,AL25)</x:f>
        <x:v>46335</x:v>
      </x:c>
      <x:c r="U25" s="12" t="n">
        <x:f>WORKDAY(T25-1,Q25)</x:f>
        <x:v>46337</x:v>
      </x:c>
      <x:c r="V25" s="9" t="str">
        <x:v>AC-06, AC-09</x:v>
      </x:c>
      <x:c r="W25" s="9" t="str">
        <x:v>13条件查询、异步导出与安全鉴权；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X25" s="9" t="str">
        <x:v>仿真计划，未执行</x:v>
      </x:c>
      <x:c r="Y25" s="34" t="n">
        <x:f>AM25*'项目总表'!$B$53</x:f>
        <x:v>0</x:v>
      </x:c>
      <x:c r="Z25" s="34" t="n">
        <x:f>AN25*'项目总表'!$B$53</x:f>
        <x:v>6</x:v>
      </x:c>
      <x:c r="AA25" s="34" t="n">
        <x:f>AO25*'项目总表'!$B$53</x:f>
        <x:v>9</x:v>
      </x:c>
      <x:c r="AB25" s="34" t="n">
        <x:f>AP25*'项目总表'!$B$53</x:f>
        <x:v>6</x:v>
      </x:c>
      <x:c r="AC25" s="34" t="n">
        <x:f>Y25*'资源计划'!$F$8+Z25*'资源计划'!$F$9+AA25*'资源计划'!$F$10+AB25*'资源计划'!$F$11</x:f>
        <x:v>2160</x:v>
      </x:c>
      <x:c r="AD25" s="29" t="str">
        <x:v>高</x:v>
      </x:c>
      <x:c r="AE25" s="29" t="str">
        <x:v>自下而上估算：按WBS活动分资源人时×仿真费率汇总；复杂度、复用条件和工作量假设逐轮复核。13条件查询、异步导出与安全鉴权；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AF25" s="29" t="str">
        <x:v>否</x:v>
      </x:c>
      <x:c r="AG25" s="33" t="n">
        <x:v>10</x:v>
      </x:c>
      <x:c r="AH25" s="33" t="n">
        <x:f>Y25/Q25</x:f>
        <x:v>0</x:v>
      </x:c>
      <x:c r="AI25" s="33" t="n">
        <x:f>Z25/Q25</x:f>
        <x:v>2</x:v>
      </x:c>
      <x:c r="AJ25" s="33" t="n">
        <x:f>AA25/Q25</x:f>
        <x:v>3</x:v>
      </x:c>
      <x:c r="AK25" s="33" t="n">
        <x:f>AB25/Q25</x:f>
        <x:v>2</x:v>
      </x:c>
      <x:c r="AL25" s="41" t="n">
        <x:v>16</x:v>
      </x:c>
      <x:c r="AM25" s="33" t="n">
        <x:v>0</x:v>
      </x:c>
      <x:c r="AN25" s="33" t="n">
        <x:v>12</x:v>
      </x:c>
      <x:c r="AO25" s="33" t="n">
        <x:v>18</x:v>
      </x:c>
      <x:c r="AP25" s="33" t="n">
        <x:v>12</x:v>
      </x:c>
    </x:row>
    <x:row r="26" ht="72" customHeight="1">
      <x:c r="A26" s="16" t="str">
        <x:v>T3.12</x:v>
      </x:c>
      <x:c r="B26" s="16" t="str">
        <x:v>实现各市取样与地区筛选</x:v>
      </x:c>
      <x:c r="C26" s="16" t="str">
        <x:v>FR-16</x:v>
      </x:c>
      <x:c r="D26" s="16" t="str">
        <x:v>T3.4FS; T3.3FS</x:v>
      </x:c>
      <x:c r="E26" s="17" t="n">
        <x:f>INT((T26-'项目总表'!$B$15)/7)+1</x:f>
        <x:v>5</x:v>
      </x:c>
      <x:c r="F26" s="17" t="n">
        <x:f>INT((U26-'项目总表'!$B$15)/7)+1</x:f>
        <x:v>5</x:v>
      </x:c>
      <x:c r="G26" s="17" t="str">
        <x:f>IF(COUNT($E26:$F26)&lt;2,"",IF(AND(G$6&gt;=$E26,G$6&lt;=$F26),"■",""))</x:f>
      </x:c>
      <x:c r="H26" s="17" t="str">
        <x:f>IF(COUNT($E26:$F26)&lt;2,"",IF(AND(H$6&gt;=$E26,H$6&lt;=$F26),"■",""))</x:f>
      </x:c>
      <x:c r="I26" s="17" t="str">
        <x:f>IF(COUNT($E26:$F26)&lt;2,"",IF(AND(I$6&gt;=$E26,I$6&lt;=$F26),"■",""))</x:f>
      </x:c>
      <x:c r="J26" s="17" t="str">
        <x:f>IF(COUNT($E26:$F26)&lt;2,"",IF(AND(J$6&gt;=$E26,J$6&lt;=$F26),"■",""))</x:f>
      </x:c>
      <x:c r="K26" s="17" t="str">
        <x:f>IF(COUNT($E26:$F26)&lt;2,"",IF(AND(K$6&gt;=$E26,K$6&lt;=$F26),"■",""))</x:f>
        <x:v>■</x:v>
      </x:c>
      <x:c r="L26" s="17" t="str">
        <x:f>IF(COUNT($E26:$F26)&lt;2,"",IF(AND(L$6&gt;=$E26,L$6&lt;=$F26),"■",""))</x:f>
      </x:c>
      <x:c r="M26" s="17" t="str">
        <x:f>IF(COUNT($E26:$F26)&lt;2,"",IF(AND(M$6&gt;=$E26,M$6&lt;=$F26),"■",""))</x:f>
      </x:c>
      <x:c r="N26" s="17" t="str">
        <x:f>IF(COUNT($E26:$F26)&lt;2,"",IF(AND(N$6&gt;=$E26,N$6&lt;=$F26),"■",""))</x:f>
      </x:c>
      <x:c r="O26" s="9" t="str">
        <x:v>开发</x:v>
      </x:c>
      <x:c r="P26" s="9" t="str">
        <x:v>备案/有效上报取样与同源图表</x:v>
      </x:c>
      <x:c r="Q26" s="19" t="n">
        <x:v>2</x:v>
      </x:c>
      <x:c r="R26" s="16" t="str">
        <x:v>R03</x:v>
      </x:c>
      <x:c r="S26" s="19" t="n">
        <x:f>SUM(Y26:AB26)</x:f>
        <x:v>15</x:v>
      </x:c>
      <x:c r="T26" s="12" t="n">
        <x:f>WORKDAY('项目总表'!$B$15-1,AL26)</x:f>
        <x:v>46344</x:v>
      </x:c>
      <x:c r="U26" s="12" t="n">
        <x:f>WORKDAY(T26-1,Q26)</x:f>
        <x:v>46345</x:v>
      </x:c>
      <x:c r="V26" s="9" t="str">
        <x:v>AC-07</x:v>
      </x:c>
      <x:c r="W26" s="9" t="str">
        <x:v>取样、地区过滤和同源图表复用查询；按模块专长重新分工，测试部署成员兼工具及自动化开发；仿真假设成熟组件和自动化工具辅助使开发工作量为独立手写初估的50%，仍保留人工复核，非已完成代码复用</x:v>
      </x:c>
      <x:c r="X26" s="9" t="str">
        <x:v>仿真计划，未执行</x:v>
      </x:c>
      <x:c r="Y26" s="34" t="n">
        <x:f>AM26*'项目总表'!$B$53</x:f>
        <x:v>0</x:v>
      </x:c>
      <x:c r="Z26" s="34" t="n">
        <x:f>AN26*'项目总表'!$B$53</x:f>
        <x:v>3</x:v>
      </x:c>
      <x:c r="AA26" s="34" t="n">
        <x:f>AO26*'项目总表'!$B$53</x:f>
        <x:v>6</x:v>
      </x:c>
      <x:c r="AB26" s="34" t="n">
        <x:f>AP26*'项目总表'!$B$53</x:f>
        <x:v>6</x:v>
      </x:c>
      <x:c r="AC26" s="34" t="n">
        <x:f>Y26*'资源计划'!$F$8+Z26*'资源计划'!$F$9+AA26*'资源计划'!$F$10+AB26*'资源计划'!$F$11</x:f>
        <x:v>1500</x:v>
      </x:c>
      <x:c r="AD26" s="29" t="str">
        <x:v>中</x:v>
      </x:c>
      <x:c r="AE26" s="29" t="str">
        <x:v>自下而上估算：按WBS活动分资源人时×仿真费率汇总；复杂度、复用条件和工作量假设逐轮复核。取样、地区过滤和同源图表复用查询；按模块专长重新分工，测试部署成员兼工具及自动化开发；仿真假设成熟组件和自动化工具辅助使开发工作量为独立手写初估的50%，仍保留人工复核，非已完成代码复用</x:v>
      </x:c>
      <x:c r="AF26" s="29" t="str">
        <x:v>否</x:v>
      </x:c>
      <x:c r="AG26" s="33" t="n">
        <x:v>4</x:v>
      </x:c>
      <x:c r="AH26" s="33" t="n">
        <x:f>Y26/Q26</x:f>
        <x:v>0</x:v>
      </x:c>
      <x:c r="AI26" s="33" t="n">
        <x:f>Z26/Q26</x:f>
        <x:v>1.5</x:v>
      </x:c>
      <x:c r="AJ26" s="33" t="n">
        <x:f>AA26/Q26</x:f>
        <x:v>3</x:v>
      </x:c>
      <x:c r="AK26" s="33" t="n">
        <x:f>AB26/Q26</x:f>
        <x:v>3</x:v>
      </x:c>
      <x:c r="AL26" s="41" t="n">
        <x:v>23</x:v>
      </x:c>
      <x:c r="AM26" s="33" t="n">
        <x:v>0</x:v>
      </x:c>
      <x:c r="AN26" s="33" t="n">
        <x:v>6</x:v>
      </x:c>
      <x:c r="AO26" s="33" t="n">
        <x:v>12</x:v>
      </x:c>
      <x:c r="AP26" s="33" t="n">
        <x:v>12</x:v>
      </x:c>
    </x:row>
    <x:row r="27" ht="87" customHeight="1">
      <x:c r="A27" s="16" t="str">
        <x:v>T3.13</x:v>
      </x:c>
      <x:c r="B27" s="16" t="str">
        <x:v>实现两期比较与连续期趋势</x:v>
      </x:c>
      <x:c r="C27" s="16" t="str">
        <x:v>FR-17, FR-18</x:v>
      </x:c>
      <x:c r="D27" s="16" t="str">
        <x:v>T3.10SS+1d</x:v>
      </x:c>
      <x:c r="E27" s="17" t="n">
        <x:f>INT((T27-'项目总表'!$B$15)/7)+1</x:f>
        <x:v>5</x:v>
      </x:c>
      <x:c r="F27" s="17" t="n">
        <x:f>INT((U27-'项目总表'!$B$15)/7)+1</x:f>
        <x:v>5</x:v>
      </x:c>
      <x:c r="G27" s="17" t="str">
        <x:f>IF(COUNT($E27:$F27)&lt;2,"",IF(AND(G$6&gt;=$E27,G$6&lt;=$F27),"■",""))</x:f>
      </x:c>
      <x:c r="H27" s="17" t="str">
        <x:f>IF(COUNT($E27:$F27)&lt;2,"",IF(AND(H$6&gt;=$E27,H$6&lt;=$F27),"■",""))</x:f>
      </x:c>
      <x:c r="I27" s="17" t="str">
        <x:f>IF(COUNT($E27:$F27)&lt;2,"",IF(AND(I$6&gt;=$E27,I$6&lt;=$F27),"■",""))</x:f>
      </x:c>
      <x:c r="J27" s="17" t="str">
        <x:f>IF(COUNT($E27:$F27)&lt;2,"",IF(AND(J$6&gt;=$E27,J$6&lt;=$F27),"■",""))</x:f>
      </x:c>
      <x:c r="K27" s="17" t="str">
        <x:f>IF(COUNT($E27:$F27)&lt;2,"",IF(AND(K$6&gt;=$E27,K$6&lt;=$F27),"■",""))</x:f>
        <x:v>■</x:v>
      </x:c>
      <x:c r="L27" s="17" t="str">
        <x:f>IF(COUNT($E27:$F27)&lt;2,"",IF(AND(L$6&gt;=$E27,L$6&lt;=$F27),"■",""))</x:f>
      </x:c>
      <x:c r="M27" s="17" t="str">
        <x:f>IF(COUNT($E27:$F27)&lt;2,"",IF(AND(M$6&gt;=$E27,M$6&lt;=$F27),"■",""))</x:f>
      </x:c>
      <x:c r="N27" s="17" t="str">
        <x:f>IF(COUNT($E27:$F27)&lt;2,"",IF(AND(N$6&gt;=$E27,N$6&lt;=$F27),"■",""))</x:f>
      </x:c>
      <x:c r="O27" s="9" t="str">
        <x:v>开发</x:v>
      </x:c>
      <x:c r="P27" s="9" t="str">
        <x:v>样本比较、趋势和缺失语义</x:v>
      </x:c>
      <x:c r="Q27" s="19" t="n">
        <x:v>3</x:v>
      </x:c>
      <x:c r="R27" s="16" t="str">
        <x:v>R01</x:v>
      </x:c>
      <x:c r="S27" s="19" t="n">
        <x:f>SUM(Y27:AB27)</x:f>
        <x:v>21</x:v>
      </x:c>
      <x:c r="T27" s="12" t="n">
        <x:f>WORKDAY('项目总表'!$B$15-1,AL27)</x:f>
        <x:v>46343</x:v>
      </x:c>
      <x:c r="U27" s="12" t="n">
        <x:f>WORKDAY(T27-1,Q27)</x:f>
        <x:v>46345</x:v>
      </x:c>
      <x:c r="V27" s="9" t="str">
        <x:v>AC-07</x:v>
      </x:c>
      <x:c r="W27" s="9" t="str">
        <x:v>两期、连续期趋势与缺样本语义；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X27" s="9" t="str">
        <x:v>仿真计划，未执行</x:v>
      </x:c>
      <x:c r="Y27" s="34" t="n">
        <x:f>AM27*'项目总表'!$B$53</x:f>
        <x:v>10</x:v>
      </x:c>
      <x:c r="Z27" s="34" t="n">
        <x:f>AN27*'项目总表'!$B$53</x:f>
        <x:v>0</x:v>
      </x:c>
      <x:c r="AA27" s="34" t="n">
        <x:f>AO27*'项目总表'!$B$53</x:f>
        <x:v>9</x:v>
      </x:c>
      <x:c r="AB27" s="34" t="n">
        <x:f>AP27*'项目总表'!$B$53</x:f>
        <x:v>2</x:v>
      </x:c>
      <x:c r="AC27" s="34" t="n">
        <x:f>Y27*'资源计划'!$F$8+Z27*'资源计划'!$F$9+AA27*'资源计划'!$F$10+AB27*'资源计划'!$F$11</x:f>
        <x:v>2080</x:v>
      </x:c>
      <x:c r="AD27" s="29" t="str">
        <x:v>高</x:v>
      </x:c>
      <x:c r="AE27" s="29" t="str">
        <x:v>自下而上估算：按WBS活动分资源人时×仿真费率汇总；复杂度、复用条件和工作量假设逐轮复核。两期、连续期趋势与缺样本语义；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AF27" s="29" t="str">
        <x:v>否</x:v>
      </x:c>
      <x:c r="AG27" s="33" t="n">
        <x:v>4</x:v>
      </x:c>
      <x:c r="AH27" s="33" t="n">
        <x:f>Y27/Q27</x:f>
        <x:v>3.3333333333333335</x:v>
      </x:c>
      <x:c r="AI27" s="33" t="n">
        <x:f>Z27/Q27</x:f>
        <x:v>0</x:v>
      </x:c>
      <x:c r="AJ27" s="33" t="n">
        <x:f>AA27/Q27</x:f>
        <x:v>3</x:v>
      </x:c>
      <x:c r="AK27" s="33" t="n">
        <x:f>AB27/Q27</x:f>
        <x:v>0.6666666666666666</x:v>
      </x:c>
      <x:c r="AL27" s="41" t="n">
        <x:v>22</x:v>
      </x:c>
      <x:c r="AM27" s="33" t="n">
        <x:v>20</x:v>
      </x:c>
      <x:c r="AN27" s="33" t="n">
        <x:v>0</x:v>
      </x:c>
      <x:c r="AO27" s="33" t="n">
        <x:v>18</x:v>
      </x:c>
      <x:c r="AP27" s="33" t="n">
        <x:v>4</x:v>
      </x:c>
    </x:row>
    <x:row r="28" ht="72" customHeight="1">
      <x:c r="A28" s="16" t="str">
        <x:v>T3.14</x:v>
      </x:c>
      <x:c r="B28" s="16" t="str">
        <x:v>实现通知与用户管理界面</x:v>
      </x:c>
      <x:c r="C28" s="16" t="str">
        <x:v>FR-19, FR-20, FR-22, FR-23</x:v>
      </x:c>
      <x:c r="D28" s="16" t="str">
        <x:v>T3.2FS</x:v>
      </x:c>
      <x:c r="E28" s="17" t="n">
        <x:f>INT((T28-'项目总表'!$B$15)/7)+1</x:f>
        <x:v>5</x:v>
      </x:c>
      <x:c r="F28" s="17" t="n">
        <x:f>INT((U28-'项目总表'!$B$15)/7)+1</x:f>
        <x:v>5</x:v>
      </x:c>
      <x:c r="G28" s="17" t="str">
        <x:f>IF(COUNT($E28:$F28)&lt;2,"",IF(AND(G$6&gt;=$E28,G$6&lt;=$F28),"■",""))</x:f>
      </x:c>
      <x:c r="H28" s="17" t="str">
        <x:f>IF(COUNT($E28:$F28)&lt;2,"",IF(AND(H$6&gt;=$E28,H$6&lt;=$F28),"■",""))</x:f>
      </x:c>
      <x:c r="I28" s="17" t="str">
        <x:f>IF(COUNT($E28:$F28)&lt;2,"",IF(AND(I$6&gt;=$E28,I$6&lt;=$F28),"■",""))</x:f>
      </x:c>
      <x:c r="J28" s="17" t="str">
        <x:f>IF(COUNT($E28:$F28)&lt;2,"",IF(AND(J$6&gt;=$E28,J$6&lt;=$F28),"■",""))</x:f>
      </x:c>
      <x:c r="K28" s="17" t="str">
        <x:f>IF(COUNT($E28:$F28)&lt;2,"",IF(AND(K$6&gt;=$E28,K$6&lt;=$F28),"■",""))</x:f>
        <x:v>■</x:v>
      </x:c>
      <x:c r="L28" s="17" t="str">
        <x:f>IF(COUNT($E28:$F28)&lt;2,"",IF(AND(L$6&gt;=$E28,L$6&lt;=$F28),"■",""))</x:f>
      </x:c>
      <x:c r="M28" s="17" t="str">
        <x:f>IF(COUNT($E28:$F28)&lt;2,"",IF(AND(M$6&gt;=$E28,M$6&lt;=$F28),"■",""))</x:f>
      </x:c>
      <x:c r="N28" s="17" t="str">
        <x:f>IF(COUNT($E28:$F28)&lt;2,"",IF(AND(N$6&gt;=$E28,N$6&lt;=$F28),"■",""))</x:f>
      </x:c>
      <x:c r="O28" s="9" t="str">
        <x:v>开发</x:v>
      </x:c>
      <x:c r="P28" s="9" t="str">
        <x:v>通知可见范围与用户角色管理</x:v>
      </x:c>
      <x:c r="Q28" s="19" t="n">
        <x:v>2</x:v>
      </x:c>
      <x:c r="R28" s="16" t="str">
        <x:v>R03</x:v>
      </x:c>
      <x:c r="S28" s="19" t="n">
        <x:f>SUM(Y28:AB28)</x:f>
        <x:v>16</x:v>
      </x:c>
      <x:c r="T28" s="12" t="n">
        <x:f>WORKDAY('项目总表'!$B$15-1,AL28)</x:f>
        <x:v>46342</x:v>
      </x:c>
      <x:c r="U28" s="12" t="n">
        <x:f>WORKDAY(T28-1,Q28)</x:f>
        <x:v>46343</x:v>
      </x:c>
      <x:c r="V28" s="9" t="str">
        <x:v>AC-08, AC-05</x:v>
      </x:c>
      <x:c r="W28" s="9" t="str">
        <x:v>通知和账号管理界面复用权限基础；按模块专长重新分工，测试部署成员兼工具及自动化开发；仿真假设成熟组件和自动化工具辅助使开发工作量为独立手写初估的50%，仍保留人工复核，非已完成代码复用</x:v>
      </x:c>
      <x:c r="X28" s="9" t="str">
        <x:v>仿真计划，未执行</x:v>
      </x:c>
      <x:c r="Y28" s="34" t="n">
        <x:f>AM28*'项目总表'!$B$53</x:f>
        <x:v>0</x:v>
      </x:c>
      <x:c r="Z28" s="34" t="n">
        <x:f>AN28*'项目总表'!$B$53</x:f>
        <x:v>2</x:v>
      </x:c>
      <x:c r="AA28" s="34" t="n">
        <x:f>AO28*'项目总表'!$B$53</x:f>
        <x:v>9</x:v>
      </x:c>
      <x:c r="AB28" s="34" t="n">
        <x:f>AP28*'项目总表'!$B$53</x:f>
        <x:v>5</x:v>
      </x:c>
      <x:c r="AC28" s="34" t="n">
        <x:f>Y28*'资源计划'!$F$8+Z28*'资源计划'!$F$9+AA28*'资源计划'!$F$10+AB28*'资源计划'!$F$11</x:f>
        <x:v>1590</x:v>
      </x:c>
      <x:c r="AD28" s="29" t="str">
        <x:v>中</x:v>
      </x:c>
      <x:c r="AE28" s="29" t="str">
        <x:v>自下而上估算：按WBS活动分资源人时×仿真费率汇总；复杂度、复用条件和工作量假设逐轮复核。通知和账号管理界面复用权限基础；按模块专长重新分工，测试部署成员兼工具及自动化开发；仿真假设成熟组件和自动化工具辅助使开发工作量为独立手写初估的50%，仍保留人工复核，非已完成代码复用</x:v>
      </x:c>
      <x:c r="AF28" s="29" t="str">
        <x:v>否</x:v>
      </x:c>
      <x:c r="AG28" s="33" t="n">
        <x:v>5</x:v>
      </x:c>
      <x:c r="AH28" s="33" t="n">
        <x:f>Y28/Q28</x:f>
        <x:v>0</x:v>
      </x:c>
      <x:c r="AI28" s="33" t="n">
        <x:f>Z28/Q28</x:f>
        <x:v>1</x:v>
      </x:c>
      <x:c r="AJ28" s="33" t="n">
        <x:f>AA28/Q28</x:f>
        <x:v>4.5</x:v>
      </x:c>
      <x:c r="AK28" s="33" t="n">
        <x:f>AB28/Q28</x:f>
        <x:v>2.5</x:v>
      </x:c>
      <x:c r="AL28" s="41" t="n">
        <x:v>21</x:v>
      </x:c>
      <x:c r="AM28" s="33" t="n">
        <x:v>0</x:v>
      </x:c>
      <x:c r="AN28" s="33" t="n">
        <x:v>4</x:v>
      </x:c>
      <x:c r="AO28" s="33" t="n">
        <x:v>18</x:v>
      </x:c>
      <x:c r="AP28" s="33" t="n">
        <x:v>10</x:v>
      </x:c>
    </x:row>
    <x:row r="29" ht="72" customHeight="1">
      <x:c r="A29" s="16" t="str">
        <x:v>T3.15</x:v>
      </x:c>
      <x:c r="B29" s="16" t="str">
        <x:v>实现删除恢复、脱敏与审计</x:v>
      </x:c>
      <x:c r="C29" s="16" t="str">
        <x:v>FR-25, FR-27, NFR-09</x:v>
      </x:c>
      <x:c r="D29" s="16" t="str">
        <x:v>T3.8FS</x:v>
      </x:c>
      <x:c r="E29" s="17" t="n">
        <x:f>INT((T29-'项目总表'!$B$15)/7)+1</x:f>
        <x:v>4</x:v>
      </x:c>
      <x:c r="F29" s="17" t="n">
        <x:f>INT((U29-'项目总表'!$B$15)/7)+1</x:f>
        <x:v>4</x:v>
      </x:c>
      <x:c r="G29" s="17" t="str">
        <x:f>IF(COUNT($E29:$F29)&lt;2,"",IF(AND(G$6&gt;=$E29,G$6&lt;=$F29),"■",""))</x:f>
      </x:c>
      <x:c r="H29" s="17" t="str">
        <x:f>IF(COUNT($E29:$F29)&lt;2,"",IF(AND(H$6&gt;=$E29,H$6&lt;=$F29),"■",""))</x:f>
      </x:c>
      <x:c r="I29" s="17" t="str">
        <x:f>IF(COUNT($E29:$F29)&lt;2,"",IF(AND(I$6&gt;=$E29,I$6&lt;=$F29),"■",""))</x:f>
      </x:c>
      <x:c r="J29" s="17" t="str">
        <x:f>IF(COUNT($E29:$F29)&lt;2,"",IF(AND(J$6&gt;=$E29,J$6&lt;=$F29),"■",""))</x:f>
        <x:v>■</x:v>
      </x:c>
      <x:c r="K29" s="17" t="str">
        <x:f>IF(COUNT($E29:$F29)&lt;2,"",IF(AND(K$6&gt;=$E29,K$6&lt;=$F29),"■",""))</x:f>
      </x:c>
      <x:c r="L29" s="17" t="str">
        <x:f>IF(COUNT($E29:$F29)&lt;2,"",IF(AND(L$6&gt;=$E29,L$6&lt;=$F29),"■",""))</x:f>
      </x:c>
      <x:c r="M29" s="17" t="str">
        <x:f>IF(COUNT($E29:$F29)&lt;2,"",IF(AND(M$6&gt;=$E29,M$6&lt;=$F29),"■",""))</x:f>
      </x:c>
      <x:c r="N29" s="17" t="str">
        <x:f>IF(COUNT($E29:$F29)&lt;2,"",IF(AND(N$6&gt;=$E29,N$6&lt;=$F29),"■",""))</x:f>
      </x:c>
      <x:c r="O29" s="9" t="str">
        <x:v>开发</x:v>
      </x:c>
      <x:c r="P29" s="9" t="str">
        <x:v>删除恢复、保留计时与事件链</x:v>
      </x:c>
      <x:c r="Q29" s="19" t="n">
        <x:v>3</x:v>
      </x:c>
      <x:c r="R29" s="16" t="str">
        <x:v>R02</x:v>
      </x:c>
      <x:c r="S29" s="19" t="n">
        <x:f>SUM(Y29:AB29)</x:f>
        <x:v>23</x:v>
      </x:c>
      <x:c r="T29" s="12" t="n">
        <x:f>WORKDAY('项目总表'!$B$15-1,AL29)</x:f>
        <x:v>46337</x:v>
      </x:c>
      <x:c r="U29" s="12" t="n">
        <x:f>WORKDAY(T29-1,Q29)</x:f>
        <x:v>46339</x:v>
      </x:c>
      <x:c r="V29" s="9" t="str">
        <x:v>AC-09, AC-13</x:v>
      </x:c>
      <x:c r="W29" s="9" t="str">
        <x:v>删除恢复、清理计时、脱敏与审计链；按模块专长重新分工，测试部署成员兼工具及自动化开发；仿真假设成熟组件和自动化工具辅助使开发工作量为独立手写初估的50%，仍保留人工复核，非已完成代码复用</x:v>
      </x:c>
      <x:c r="X29" s="9" t="str">
        <x:v>仿真计划，未执行</x:v>
      </x:c>
      <x:c r="Y29" s="34" t="n">
        <x:f>AM29*'项目总表'!$B$53</x:f>
        <x:v>3</x:v>
      </x:c>
      <x:c r="Z29" s="34" t="n">
        <x:f>AN29*'项目总表'!$B$53</x:f>
        <x:v>8</x:v>
      </x:c>
      <x:c r="AA29" s="34" t="n">
        <x:f>AO29*'项目总表'!$B$53</x:f>
        <x:v>5</x:v>
      </x:c>
      <x:c r="AB29" s="34" t="n">
        <x:f>AP29*'项目总表'!$B$53</x:f>
        <x:v>7</x:v>
      </x:c>
      <x:c r="AC29" s="34" t="n">
        <x:f>Y29*'资源计划'!$F$8+Z29*'资源计划'!$F$9+AA29*'资源计划'!$F$10+AB29*'资源计划'!$F$11</x:f>
        <x:v>2390</x:v>
      </x:c>
      <x:c r="AD29" s="29" t="str">
        <x:v>高</x:v>
      </x:c>
      <x:c r="AE29" s="29" t="str">
        <x:v>自下而上估算：按WBS活动分资源人时×仿真费率汇总；复杂度、复用条件和工作量假设逐轮复核。删除恢复、清理计时、脱敏与审计链；按模块专长重新分工，测试部署成员兼工具及自动化开发；仿真假设成熟组件和自动化工具辅助使开发工作量为独立手写初估的50%，仍保留人工复核，非已完成代码复用</x:v>
      </x:c>
      <x:c r="AF29" s="29" t="str">
        <x:v>否</x:v>
      </x:c>
      <x:c r="AG29" s="33" t="n">
        <x:v>8</x:v>
      </x:c>
      <x:c r="AH29" s="33" t="n">
        <x:f>Y29/Q29</x:f>
        <x:v>1</x:v>
      </x:c>
      <x:c r="AI29" s="33" t="n">
        <x:f>Z29/Q29</x:f>
        <x:v>2.6666666666666665</x:v>
      </x:c>
      <x:c r="AJ29" s="33" t="n">
        <x:f>AA29/Q29</x:f>
        <x:v>1.6666666666666667</x:v>
      </x:c>
      <x:c r="AK29" s="33" t="n">
        <x:f>AB29/Q29</x:f>
        <x:v>2.3333333333333335</x:v>
      </x:c>
      <x:c r="AL29" s="41" t="n">
        <x:v>18</x:v>
      </x:c>
      <x:c r="AM29" s="33" t="n">
        <x:v>6</x:v>
      </x:c>
      <x:c r="AN29" s="33" t="n">
        <x:v>16</x:v>
      </x:c>
      <x:c r="AO29" s="33" t="n">
        <x:v>10</x:v>
      </x:c>
      <x:c r="AP29" s="33" t="n">
        <x:v>14</x:v>
      </x:c>
    </x:row>
    <x:row r="30" ht="72" customHeight="1">
      <x:c r="A30" s="16" t="str">
        <x:v>T3.16</x:v>
      </x:c>
      <x:c r="B30" s="16" t="str">
        <x:v>实现运行监控与指标采集</x:v>
      </x:c>
      <x:c r="C30" s="16" t="str">
        <x:v>FR-24, IF-04, NFR-11</x:v>
      </x:c>
      <x:c r="D30" s="16" t="str">
        <x:v>T3.1FS; T2.3FS</x:v>
      </x:c>
      <x:c r="E30" s="17" t="n">
        <x:f>INT((T30-'项目总表'!$B$15)/7)+1</x:f>
        <x:v>2</x:v>
      </x:c>
      <x:c r="F30" s="17" t="n">
        <x:f>INT((U30-'项目总表'!$B$15)/7)+1</x:f>
        <x:v>3</x:v>
      </x:c>
      <x:c r="G30" s="17" t="str">
        <x:f>IF(COUNT($E30:$F30)&lt;2,"",IF(AND(G$6&gt;=$E30,G$6&lt;=$F30),"■",""))</x:f>
      </x:c>
      <x:c r="H30" s="17" t="str">
        <x:f>IF(COUNT($E30:$F30)&lt;2,"",IF(AND(H$6&gt;=$E30,H$6&lt;=$F30),"■",""))</x:f>
        <x:v>■</x:v>
      </x:c>
      <x:c r="I30" s="17" t="str">
        <x:f>IF(COUNT($E30:$F30)&lt;2,"",IF(AND(I$6&gt;=$E30,I$6&lt;=$F30),"■",""))</x:f>
        <x:v>■</x:v>
      </x:c>
      <x:c r="J30" s="17" t="str">
        <x:f>IF(COUNT($E30:$F30)&lt;2,"",IF(AND(J$6&gt;=$E30,J$6&lt;=$F30),"■",""))</x:f>
      </x:c>
      <x:c r="K30" s="17" t="str">
        <x:f>IF(COUNT($E30:$F30)&lt;2,"",IF(AND(K$6&gt;=$E30,K$6&lt;=$F30),"■",""))</x:f>
      </x:c>
      <x:c r="L30" s="17" t="str">
        <x:f>IF(COUNT($E30:$F30)&lt;2,"",IF(AND(L$6&gt;=$E30,L$6&lt;=$F30),"■",""))</x:f>
      </x:c>
      <x:c r="M30" s="17" t="str">
        <x:f>IF(COUNT($E30:$F30)&lt;2,"",IF(AND(M$6&gt;=$E30,M$6&lt;=$F30),"■",""))</x:f>
      </x:c>
      <x:c r="N30" s="17" t="str">
        <x:f>IF(COUNT($E30:$F30)&lt;2,"",IF(AND(N$6&gt;=$E30,N$6&lt;=$F30),"■",""))</x:f>
      </x:c>
      <x:c r="O30" s="9" t="str">
        <x:v>开发</x:v>
      </x:c>
      <x:c r="P30" s="9" t="str">
        <x:v>宿主机指标、服务状态与过期标识</x:v>
      </x:c>
      <x:c r="Q30" s="19" t="n">
        <x:v>2</x:v>
      </x:c>
      <x:c r="R30" s="16" t="str">
        <x:v>R04</x:v>
      </x:c>
      <x:c r="S30" s="19" t="n">
        <x:f>SUM(Y30:AB30)</x:f>
        <x:v>18</x:v>
      </x:c>
      <x:c r="T30" s="12" t="n">
        <x:f>WORKDAY('项目总表'!$B$15-1,AL30)</x:f>
        <x:v>46325</x:v>
      </x:c>
      <x:c r="U30" s="12" t="n">
        <x:f>WORKDAY(T30-1,Q30)</x:f>
        <x:v>46328</x:v>
      </x:c>
      <x:c r="V30" s="9" t="str">
        <x:v>AC-14</x:v>
      </x:c>
      <x:c r="W30" s="9" t="str">
        <x:v>实际宿主采集与失败标识，复用监控库；按模块专长重新分工，测试部署成员兼工具及自动化开发；仿真假设成熟组件和自动化工具辅助使开发工作量为独立手写初估的50%，仍保留人工复核，非已完成代码复用</x:v>
      </x:c>
      <x:c r="X30" s="9" t="str">
        <x:v>仿真计划，未执行</x:v>
      </x:c>
      <x:c r="Y30" s="34" t="n">
        <x:f>AM30*'项目总表'!$B$53</x:f>
        <x:v>0</x:v>
      </x:c>
      <x:c r="Z30" s="34" t="n">
        <x:f>AN30*'项目总表'!$B$53</x:f>
        <x:v>4</x:v>
      </x:c>
      <x:c r="AA30" s="34" t="n">
        <x:f>AO30*'项目总表'!$B$53</x:f>
        <x:v>4</x:v>
      </x:c>
      <x:c r="AB30" s="34" t="n">
        <x:f>AP30*'项目总表'!$B$53</x:f>
        <x:v>10</x:v>
      </x:c>
      <x:c r="AC30" s="34" t="n">
        <x:f>Y30*'资源计划'!$F$8+Z30*'资源计划'!$F$9+AA30*'资源计划'!$F$10+AB30*'资源计划'!$F$11</x:f>
        <x:v>1780</x:v>
      </x:c>
      <x:c r="AD30" s="29" t="str">
        <x:v>中</x:v>
      </x:c>
      <x:c r="AE30" s="29" t="str">
        <x:v>自下而上估算：按WBS活动分资源人时×仿真费率汇总；复杂度、复用条件和工作量假设逐轮复核。实际宿主采集与失败标识，复用监控库；按模块专长重新分工，测试部署成员兼工具及自动化开发；仿真假设成熟组件和自动化工具辅助使开发工作量为独立手写初估的50%，仍保留人工复核，非已完成代码复用</x:v>
      </x:c>
      <x:c r="AF30" s="29" t="str">
        <x:v>否</x:v>
      </x:c>
      <x:c r="AG30" s="33" t="n">
        <x:v>17</x:v>
      </x:c>
      <x:c r="AH30" s="33" t="n">
        <x:f>Y30/Q30</x:f>
        <x:v>0</x:v>
      </x:c>
      <x:c r="AI30" s="33" t="n">
        <x:f>Z30/Q30</x:f>
        <x:v>2</x:v>
      </x:c>
      <x:c r="AJ30" s="33" t="n">
        <x:f>AA30/Q30</x:f>
        <x:v>2</x:v>
      </x:c>
      <x:c r="AK30" s="33" t="n">
        <x:f>AB30/Q30</x:f>
        <x:v>5</x:v>
      </x:c>
      <x:c r="AL30" s="41" t="n">
        <x:v>10</x:v>
      </x:c>
      <x:c r="AM30" s="33" t="n">
        <x:v>0</x:v>
      </x:c>
      <x:c r="AN30" s="33" t="n">
        <x:v>8</x:v>
      </x:c>
      <x:c r="AO30" s="33" t="n">
        <x:v>8</x:v>
      </x:c>
      <x:c r="AP30" s="33" t="n">
        <x:v>20</x:v>
      </x:c>
    </x:row>
    <x:row r="31" ht="87" customHeight="1">
      <x:c r="A31" s="16" t="str">
        <x:v>T3.17</x:v>
      </x:c>
      <x:c r="B31" s="16" t="str">
        <x:v>实现批次冻结与MOCK交换</x:v>
      </x:c>
      <x:c r="C31" s="16" t="str">
        <x:v>FR-26, IF-01</x:v>
      </x:c>
      <x:c r="D31" s="16" t="str">
        <x:v>T3.10SS+1d; T2.3FS</x:v>
      </x:c>
      <x:c r="E31" s="17" t="n">
        <x:f>INT((T31-'项目总表'!$B$15)/7)+1</x:f>
        <x:v>4</x:v>
      </x:c>
      <x:c r="F31" s="17" t="n">
        <x:f>INT((U31-'项目总表'!$B$15)/7)+1</x:f>
        <x:v>5</x:v>
      </x:c>
      <x:c r="G31" s="17" t="str">
        <x:f>IF(COUNT($E31:$F31)&lt;2,"",IF(AND(G$6&gt;=$E31,G$6&lt;=$F31),"■",""))</x:f>
      </x:c>
      <x:c r="H31" s="17" t="str">
        <x:f>IF(COUNT($E31:$F31)&lt;2,"",IF(AND(H$6&gt;=$E31,H$6&lt;=$F31),"■",""))</x:f>
      </x:c>
      <x:c r="I31" s="17" t="str">
        <x:f>IF(COUNT($E31:$F31)&lt;2,"",IF(AND(I$6&gt;=$E31,I$6&lt;=$F31),"■",""))</x:f>
      </x:c>
      <x:c r="J31" s="17" t="str">
        <x:f>IF(COUNT($E31:$F31)&lt;2,"",IF(AND(J$6&gt;=$E31,J$6&lt;=$F31),"■",""))</x:f>
        <x:v>■</x:v>
      </x:c>
      <x:c r="K31" s="17" t="str">
        <x:f>IF(COUNT($E31:$F31)&lt;2,"",IF(AND(K$6&gt;=$E31,K$6&lt;=$F31),"■",""))</x:f>
        <x:v>■</x:v>
      </x:c>
      <x:c r="L31" s="17" t="str">
        <x:f>IF(COUNT($E31:$F31)&lt;2,"",IF(AND(L$6&gt;=$E31,L$6&lt;=$F31),"■",""))</x:f>
      </x:c>
      <x:c r="M31" s="17" t="str">
        <x:f>IF(COUNT($E31:$F31)&lt;2,"",IF(AND(M$6&gt;=$E31,M$6&lt;=$F31),"■",""))</x:f>
      </x:c>
      <x:c r="N31" s="17" t="str">
        <x:f>IF(COUNT($E31:$F31)&lt;2,"",IF(AND(N$6&gt;=$E31,N$6&lt;=$F31),"■",""))</x:f>
      </x:c>
      <x:c r="O31" s="9" t="str">
        <x:v>开发</x:v>
      </x:c>
      <x:c r="P31" s="9" t="str">
        <x:v>批次、摘要、MOCK回执与恢复</x:v>
      </x:c>
      <x:c r="Q31" s="19" t="n">
        <x:v>3</x:v>
      </x:c>
      <x:c r="R31" s="16" t="str">
        <x:v>R02</x:v>
      </x:c>
      <x:c r="S31" s="19" t="n">
        <x:f>SUM(Y31:AB31)</x:f>
        <x:v>21</x:v>
      </x:c>
      <x:c r="T31" s="12" t="n">
        <x:f>WORKDAY('项目总表'!$B$15-1,AL31)</x:f>
        <x:v>46338</x:v>
      </x:c>
      <x:c r="U31" s="12" t="n">
        <x:f>WORKDAY(T31-1,Q31)</x:f>
        <x:v>46342</x:v>
      </x:c>
      <x:c r="V31" s="9" t="str">
        <x:v>AC-10A</x:v>
      </x:c>
      <x:c r="W31" s="9" t="str">
        <x:v>批次冻结、黄金摘要、MOCK回执及恢复；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X31" s="9" t="str">
        <x:v>仿真计划，未执行</x:v>
      </x:c>
      <x:c r="Y31" s="34" t="n">
        <x:f>AM31*'项目总表'!$B$53</x:f>
        <x:v>0</x:v>
      </x:c>
      <x:c r="Z31" s="34" t="n">
        <x:f>AN31*'项目总表'!$B$53</x:f>
        <x:v>15</x:v>
      </x:c>
      <x:c r="AA31" s="34" t="n">
        <x:f>AO31*'项目总表'!$B$53</x:f>
        <x:v>4</x:v>
      </x:c>
      <x:c r="AB31" s="34" t="n">
        <x:f>AP31*'项目总表'!$B$53</x:f>
        <x:v>2</x:v>
      </x:c>
      <x:c r="AC31" s="34" t="n">
        <x:f>Y31*'资源计划'!$F$8+Z31*'资源计划'!$F$9+AA31*'资源计划'!$F$10+AB31*'资源计划'!$F$11</x:f>
        <x:v>2380</x:v>
      </x:c>
      <x:c r="AD31" s="29" t="str">
        <x:v>高</x:v>
      </x:c>
      <x:c r="AE31" s="29" t="str">
        <x:v>自下而上估算：按WBS活动分资源人时×仿真费率汇总；复杂度、复用条件和工作量假设逐轮复核。批次冻结、黄金摘要、MOCK回执及恢复；按模块专长重新分工，测试部署成员兼工具及自动化开发；仿真假设成熟组件和自动化工具辅助使开发工作量为独立手写初估的50%，仍保留人工复核，非已完成代码复用；已确认SRS接口后先交付内部接口骨架，模块重叠编码；集成和验收等待全部相关模块完成</x:v>
      </x:c>
      <x:c r="AF31" s="29" t="str">
        <x:v>否</x:v>
      </x:c>
      <x:c r="AG31" s="33" t="n">
        <x:v>7</x:v>
      </x:c>
      <x:c r="AH31" s="33" t="n">
        <x:f>Y31/Q31</x:f>
        <x:v>0</x:v>
      </x:c>
      <x:c r="AI31" s="33" t="n">
        <x:f>Z31/Q31</x:f>
        <x:v>5</x:v>
      </x:c>
      <x:c r="AJ31" s="33" t="n">
        <x:f>AA31/Q31</x:f>
        <x:v>1.3333333333333333</x:v>
      </x:c>
      <x:c r="AK31" s="33" t="n">
        <x:f>AB31/Q31</x:f>
        <x:v>0.6666666666666666</x:v>
      </x:c>
      <x:c r="AL31" s="41" t="n">
        <x:v>19</x:v>
      </x:c>
      <x:c r="AM31" s="33" t="n">
        <x:v>0</x:v>
      </x:c>
      <x:c r="AN31" s="33" t="n">
        <x:v>30</x:v>
      </x:c>
      <x:c r="AO31" s="33" t="n">
        <x:v>8</x:v>
      </x:c>
      <x:c r="AP31" s="33" t="n">
        <x:v>4</x:v>
      </x:c>
    </x:row>
    <x:row r="32" ht="87" customHeight="1">
      <x:c r="A32" s="16" t="str">
        <x:v>T3.18</x:v>
      </x:c>
      <x:c r="B32" s="16" t="str">
        <x:v>实现实际REAL协议适配</x:v>
      </x:c>
      <x:c r="C32" s="16" t="str">
        <x:v>FR-26, IF-01</x:v>
      </x:c>
      <x:c r="D32" s="16" t="str">
        <x:v>T2.4FS; T2.3FS</x:v>
      </x:c>
      <x:c r="E32" s="17" t="n">
        <x:f>INT((T32-'项目总表'!$B$15)/7)+1</x:f>
        <x:v>4</x:v>
      </x:c>
      <x:c r="F32" s="17" t="n">
        <x:f>INT((U32-'项目总表'!$B$15)/7)+1</x:f>
        <x:v>5</x:v>
      </x:c>
      <x:c r="G32" s="17" t="str">
        <x:f>IF(COUNT($E32:$F32)&lt;2,"",IF(AND(G$6&gt;=$E32,G$6&lt;=$F32),"■",""))</x:f>
      </x:c>
      <x:c r="H32" s="17" t="str">
        <x:f>IF(COUNT($E32:$F32)&lt;2,"",IF(AND(H$6&gt;=$E32,H$6&lt;=$F32),"■",""))</x:f>
      </x:c>
      <x:c r="I32" s="17" t="str">
        <x:f>IF(COUNT($E32:$F32)&lt;2,"",IF(AND(I$6&gt;=$E32,I$6&lt;=$F32),"■",""))</x:f>
      </x:c>
      <x:c r="J32" s="17" t="str">
        <x:f>IF(COUNT($E32:$F32)&lt;2,"",IF(AND(J$6&gt;=$E32,J$6&lt;=$F32),"■",""))</x:f>
        <x:v>■</x:v>
      </x:c>
      <x:c r="K32" s="17" t="str">
        <x:f>IF(COUNT($E32:$F32)&lt;2,"",IF(AND(K$6&gt;=$E32,K$6&lt;=$F32),"■",""))</x:f>
        <x:v>■</x:v>
      </x:c>
      <x:c r="L32" s="17" t="str">
        <x:f>IF(COUNT($E32:$F32)&lt;2,"",IF(AND(L$6&gt;=$E32,L$6&lt;=$F32),"■",""))</x:f>
      </x:c>
      <x:c r="M32" s="17" t="str">
        <x:f>IF(COUNT($E32:$F32)&lt;2,"",IF(AND(M$6&gt;=$E32,M$6&lt;=$F32),"■",""))</x:f>
      </x:c>
      <x:c r="N32" s="17" t="str">
        <x:f>IF(COUNT($E32:$F32)&lt;2,"",IF(AND(N$6&gt;=$E32,N$6&lt;=$F32),"■",""))</x:f>
      </x:c>
      <x:c r="O32" s="9" t="str">
        <x:v>条件开发</x:v>
      </x:c>
      <x:c r="P32" s="9" t="str">
        <x:v>实际认证、字段映射与传输适配</x:v>
      </x:c>
      <x:c r="Q32" s="19" t="n">
        <x:v>3</x:v>
      </x:c>
      <x:c r="R32" s="16" t="str">
        <x:v>R01</x:v>
      </x:c>
      <x:c r="S32" s="19" t="n">
        <x:f>SUM(Y32:AB32)</x:f>
        <x:v>18</x:v>
      </x:c>
      <x:c r="T32" s="12" t="n">
        <x:f>WORKDAY('项目总表'!$B$15-1,AL32)</x:f>
        <x:v>46338</x:v>
      </x:c>
      <x:c r="U32" s="12" t="n">
        <x:f>WORKDAY(T32-1,Q32)</x:f>
        <x:v>46342</x:v>
      </x:c>
      <x:c r="V32" s="9" t="str">
        <x:v>AC-10B</x:v>
      </x:c>
      <x:c r="W32" s="9" t="str">
        <x:v>按假定已具备的真实协议实现认证、映射及传输；复用批次界面，不另行重复前端开发；按模块专长重新分工，测试部署成员兼工具及自动化开发；仿真假设成熟组件和自动化工具辅助使开发工作量为独立手写初估的50%，仍保留人工复核，非已完成代码复用</x:v>
      </x:c>
      <x:c r="X32" s="9" t="str">
        <x:v>仿真计划，未执行</x:v>
      </x:c>
      <x:c r="Y32" s="34" t="n">
        <x:f>AM32*'项目总表'!$B$53</x:f>
        <x:v>15</x:v>
      </x:c>
      <x:c r="Z32" s="34" t="n">
        <x:f>AN32*'项目总表'!$B$53</x:f>
        <x:v>0</x:v>
      </x:c>
      <x:c r="AA32" s="34" t="n">
        <x:f>AO32*'项目总表'!$B$53</x:f>
        <x:v>0</x:v>
      </x:c>
      <x:c r="AB32" s="34" t="n">
        <x:f>AP32*'项目总表'!$B$53</x:f>
        <x:v>3</x:v>
      </x:c>
      <x:c r="AC32" s="34" t="n">
        <x:f>Y32*'资源计划'!$F$8+Z32*'资源计划'!$F$9+AA32*'资源计划'!$F$10+AB32*'资源计划'!$F$11</x:f>
        <x:v>1770</x:v>
      </x:c>
      <x:c r="AD32" s="29" t="str">
        <x:v>高</x:v>
      </x:c>
      <x:c r="AE32" s="29" t="str">
        <x:v>自下而上估算：按WBS活动分资源人时×仿真费率汇总；复杂度、复用条件和工作量假设逐轮复核。外部协议和验证条件未确认；不预置未经证实的模型参数。按假定已具备的真实协议实现认证、映射及传输；复用批次界面，不另行重复前端开发；按模块专长重新分工，测试部署成员兼工具及自动化开发；仿真假设成熟组件和自动化工具辅助使开发工作量为独立手写初估的50%，仍保留人工复核，非已完成代码复用</x:v>
      </x:c>
      <x:c r="AF32" s="29" t="str">
        <x:v>否</x:v>
      </x:c>
      <x:c r="AG32" s="33" t="n">
        <x:v>11</x:v>
      </x:c>
      <x:c r="AH32" s="33" t="n">
        <x:f>Y32/Q32</x:f>
        <x:v>5</x:v>
      </x:c>
      <x:c r="AI32" s="33" t="n">
        <x:f>Z32/Q32</x:f>
        <x:v>0</x:v>
      </x:c>
      <x:c r="AJ32" s="33" t="n">
        <x:f>AA32/Q32</x:f>
        <x:v>0</x:v>
      </x:c>
      <x:c r="AK32" s="33" t="n">
        <x:f>AB32/Q32</x:f>
        <x:v>1</x:v>
      </x:c>
      <x:c r="AL32" s="41" t="n">
        <x:v>19</x:v>
      </x:c>
      <x:c r="AM32" s="33" t="n">
        <x:v>30</x:v>
      </x:c>
      <x:c r="AN32" s="33" t="n">
        <x:v>0</x:v>
      </x:c>
      <x:c r="AO32" s="33" t="n">
        <x:v>0</x:v>
      </x:c>
      <x:c r="AP32" s="33" t="n">
        <x:v>6</x:v>
      </x:c>
    </x:row>
    <x:row r="33" ht="72" customHeight="1">
      <x:c r="A33" s="16" t="str">
        <x:v>T3.19</x:v>
      </x:c>
      <x:c r="B33" s="16" t="str">
        <x:v>编写配置、部署、备份与回滚</x:v>
      </x:c>
      <x:c r="C33" s="16" t="str">
        <x:v>NFR-04, NFR-05, NFR-11</x:v>
      </x:c>
      <x:c r="D33" s="16" t="str">
        <x:v>T3.1FS; T2.2FS</x:v>
      </x:c>
      <x:c r="E33" s="17" t="n">
        <x:f>INT((T33-'项目总表'!$B$15)/7)+1</x:f>
        <x:v>2</x:v>
      </x:c>
      <x:c r="F33" s="17" t="n">
        <x:f>INT((U33-'项目总表'!$B$15)/7)+1</x:f>
        <x:v>2</x:v>
      </x:c>
      <x:c r="G33" s="17" t="str">
        <x:f>IF(COUNT($E33:$F33)&lt;2,"",IF(AND(G$6&gt;=$E33,G$6&lt;=$F33),"■",""))</x:f>
      </x:c>
      <x:c r="H33" s="17" t="str">
        <x:f>IF(COUNT($E33:$F33)&lt;2,"",IF(AND(H$6&gt;=$E33,H$6&lt;=$F33),"■",""))</x:f>
        <x:v>■</x:v>
      </x:c>
      <x:c r="I33" s="17" t="str">
        <x:f>IF(COUNT($E33:$F33)&lt;2,"",IF(AND(I$6&gt;=$E33,I$6&lt;=$F33),"■",""))</x:f>
      </x:c>
      <x:c r="J33" s="17" t="str">
        <x:f>IF(COUNT($E33:$F33)&lt;2,"",IF(AND(J$6&gt;=$E33,J$6&lt;=$F33),"■",""))</x:f>
      </x:c>
      <x:c r="K33" s="17" t="str">
        <x:f>IF(COUNT($E33:$F33)&lt;2,"",IF(AND(K$6&gt;=$E33,K$6&lt;=$F33),"■",""))</x:f>
      </x:c>
      <x:c r="L33" s="17" t="str">
        <x:f>IF(COUNT($E33:$F33)&lt;2,"",IF(AND(L$6&gt;=$E33,L$6&lt;=$F33),"■",""))</x:f>
      </x:c>
      <x:c r="M33" s="17" t="str">
        <x:f>IF(COUNT($E33:$F33)&lt;2,"",IF(AND(M$6&gt;=$E33,M$6&lt;=$F33),"■",""))</x:f>
      </x:c>
      <x:c r="N33" s="17" t="str">
        <x:f>IF(COUNT($E33:$F33)&lt;2,"",IF(AND(N$6&gt;=$E33,N$6&lt;=$F33),"■",""))</x:f>
      </x:c>
      <x:c r="O33" s="9" t="str">
        <x:v>开发</x:v>
      </x:c>
      <x:c r="P33" s="9" t="str">
        <x:v>运行脚本、备份恢复与配置说明</x:v>
      </x:c>
      <x:c r="Q33" s="19" t="n">
        <x:v>3</x:v>
      </x:c>
      <x:c r="R33" s="16" t="str">
        <x:v>R04</x:v>
      </x:c>
      <x:c r="S33" s="19" t="n">
        <x:f>SUM(Y33:AB33)</x:f>
        <x:v>16</x:v>
      </x:c>
      <x:c r="T33" s="12" t="n">
        <x:f>WORKDAY('项目总表'!$B$15-1,AL33)</x:f>
        <x:v>46322</x:v>
      </x:c>
      <x:c r="U33" s="12" t="n">
        <x:f>WORKDAY(T33-1,Q33)</x:f>
        <x:v>46324</x:v>
      </x:c>
      <x:c r="V33" s="9" t="str">
        <x:v>AC-12, AC-14</x:v>
      </x:c>
      <x:c r="W33" s="9" t="str">
        <x:v>部署、配置、备份、迁移和回滚脚本；仿真假设成熟组件和自动化工具辅助使开发工作量为独立手写初估的50%，仍保留人工复核，非已完成代码复用</x:v>
      </x:c>
      <x:c r="X33" s="9" t="str">
        <x:v>仿真计划，未执行</x:v>
      </x:c>
      <x:c r="Y33" s="34" t="n">
        <x:f>AM33*'项目总表'!$B$53</x:f>
        <x:v>2</x:v>
      </x:c>
      <x:c r="Z33" s="34" t="n">
        <x:f>AN33*'项目总表'!$B$53</x:f>
        <x:v>4</x:v>
      </x:c>
      <x:c r="AA33" s="34" t="n">
        <x:f>AO33*'项目总表'!$B$53</x:f>
        <x:v>0</x:v>
      </x:c>
      <x:c r="AB33" s="34" t="n">
        <x:f>AP33*'项目总表'!$B$53</x:f>
        <x:v>10</x:v>
      </x:c>
      <x:c r="AC33" s="34" t="n">
        <x:f>Y33*'资源计划'!$F$8+Z33*'资源计划'!$F$9+AA33*'资源计划'!$F$10+AB33*'资源计划'!$F$11</x:f>
        <x:v>1580</x:v>
      </x:c>
      <x:c r="AD33" s="29" t="str">
        <x:v>中</x:v>
      </x:c>
      <x:c r="AE33" s="29" t="str">
        <x:v>自下而上估算：按WBS活动分资源人时×仿真费率汇总；复杂度、复用条件和工作量假设逐轮复核。部署、配置、备份、迁移和回滚脚本；仿真假设成熟组件和自动化工具辅助使开发工作量为独立手写初估的50%，仍保留人工复核，非已完成代码复用</x:v>
      </x:c>
      <x:c r="AF33" s="29" t="str">
        <x:v>否</x:v>
      </x:c>
      <x:c r="AG33" s="33" t="n">
        <x:v>19</x:v>
      </x:c>
      <x:c r="AH33" s="33" t="n">
        <x:f>Y33/Q33</x:f>
        <x:v>0.6666666666666666</x:v>
      </x:c>
      <x:c r="AI33" s="33" t="n">
        <x:f>Z33/Q33</x:f>
        <x:v>1.3333333333333333</x:v>
      </x:c>
      <x:c r="AJ33" s="33" t="n">
        <x:f>AA33/Q33</x:f>
        <x:v>0</x:v>
      </x:c>
      <x:c r="AK33" s="33" t="n">
        <x:f>AB33/Q33</x:f>
        <x:v>3.3333333333333335</x:v>
      </x:c>
      <x:c r="AL33" s="41" t="n">
        <x:v>7</x:v>
      </x:c>
      <x:c r="AM33" s="33" t="n">
        <x:v>4</x:v>
      </x:c>
      <x:c r="AN33" s="33" t="n">
        <x:v>8</x:v>
      </x:c>
      <x:c r="AO33" s="33" t="n">
        <x:v>0</x:v>
      </x:c>
      <x:c r="AP33" s="33" t="n">
        <x:v>20</x:v>
      </x:c>
    </x:row>
    <x:row r="34" ht="72" customHeight="1">
      <x:c r="A34" s="16" t="str">
        <x:v>T4.1</x:v>
      </x:c>
      <x:c r="B34" s="16" t="str">
        <x:v>评审主业务链阶段成果</x:v>
      </x:c>
      <x:c r="C34" s="16" t="str">
        <x:v>FR-02～11, FR-19～23</x:v>
      </x:c>
      <x:c r="D34" s="16" t="str">
        <x:v>T3.6FS; T3.7FS; T3.14FS</x:v>
      </x:c>
      <x:c r="E34" s="17" t="n">
        <x:f>INT((T34-'项目总表'!$B$15)/7)+1</x:f>
        <x:v>5</x:v>
      </x:c>
      <x:c r="F34" s="17" t="n">
        <x:f>INT((U34-'项目总表'!$B$15)/7)+1</x:f>
        <x:v>5</x:v>
      </x:c>
      <x:c r="G34" s="17" t="str">
        <x:f>IF(COUNT($E34:$F34)&lt;2,"",IF(AND(G$6&gt;=$E34,G$6&lt;=$F34),"■",""))</x:f>
      </x:c>
      <x:c r="H34" s="17" t="str">
        <x:f>IF(COUNT($E34:$F34)&lt;2,"",IF(AND(H$6&gt;=$E34,H$6&lt;=$F34),"■",""))</x:f>
      </x:c>
      <x:c r="I34" s="17" t="str">
        <x:f>IF(COUNT($E34:$F34)&lt;2,"",IF(AND(I$6&gt;=$E34,I$6&lt;=$F34),"■",""))</x:f>
      </x:c>
      <x:c r="J34" s="17" t="str">
        <x:f>IF(COUNT($E34:$F34)&lt;2,"",IF(AND(J$6&gt;=$E34,J$6&lt;=$F34),"■",""))</x:f>
      </x:c>
      <x:c r="K34" s="17" t="str">
        <x:f>IF(COUNT($E34:$F34)&lt;2,"",IF(AND(K$6&gt;=$E34,K$6&lt;=$F34),"■",""))</x:f>
        <x:v>■</x:v>
      </x:c>
      <x:c r="L34" s="17" t="str">
        <x:f>IF(COUNT($E34:$F34)&lt;2,"",IF(AND(L$6&gt;=$E34,L$6&lt;=$F34),"■",""))</x:f>
      </x:c>
      <x:c r="M34" s="17" t="str">
        <x:f>IF(COUNT($E34:$F34)&lt;2,"",IF(AND(M$6&gt;=$E34,M$6&lt;=$F34),"■",""))</x:f>
      </x:c>
      <x:c r="N34" s="17" t="str">
        <x:f>IF(COUNT($E34:$F34)&lt;2,"",IF(AND(N$6&gt;=$E34,N$6&lt;=$F34),"■",""))</x:f>
      </x:c>
      <x:c r="O34" s="9" t="str">
        <x:v>阶段评审</x:v>
      </x:c>
      <x:c r="P34" s="9" t="str">
        <x:v>主业务链阶段评审记录</x:v>
      </x:c>
      <x:c r="Q34" s="19" t="n">
        <x:v>1</x:v>
      </x:c>
      <x:c r="R34" s="16" t="str">
        <x:v>R01</x:v>
      </x:c>
      <x:c r="S34" s="19" t="n">
        <x:f>SUM(Y34:AB34)</x:f>
        <x:v>12</x:v>
      </x:c>
      <x:c r="T34" s="12" t="n">
        <x:f>WORKDAY('项目总表'!$B$15-1,AL34)</x:f>
        <x:v>46346</x:v>
      </x:c>
      <x:c r="U34" s="12" t="n">
        <x:f>WORKDAY(T34-1,Q34)</x:f>
        <x:v>46346</x:v>
      </x:c>
      <x:c r="V34" s="9" t="str">
        <x:v>AC-01～03, AC-08</x:v>
      </x:c>
      <x:c r="W34" s="9" t="str">
        <x:v>四人阶段评审、检查AC与未解决问题</x:v>
      </x:c>
      <x:c r="X34" s="9" t="str">
        <x:v>仿真计划，未执行</x:v>
      </x:c>
      <x:c r="Y34" s="34" t="n">
        <x:f>AM34</x:f>
        <x:v>4</x:v>
      </x:c>
      <x:c r="Z34" s="34" t="n">
        <x:f>AN34</x:f>
        <x:v>2</x:v>
      </x:c>
      <x:c r="AA34" s="34" t="n">
        <x:f>AO34</x:f>
        <x:v>2</x:v>
      </x:c>
      <x:c r="AB34" s="34" t="n">
        <x:f>AP34</x:f>
        <x:v>4</x:v>
      </x:c>
      <x:c r="AC34" s="34" t="n">
        <x:f>Y34*'资源计划'!$F$8+Z34*'资源计划'!$F$9+AA34*'资源计划'!$F$10+AB34*'资源计划'!$F$11</x:f>
        <x:v>1200</x:v>
      </x:c>
      <x:c r="AD34" s="29" t="str">
        <x:v>中</x:v>
      </x:c>
      <x:c r="AE34" s="29" t="str">
        <x:v>自下而上估算：按WBS活动分资源人时×仿真费率汇总；复杂度、复用条件和工作量假设逐轮复核。四人阶段评审、检查AC与未解决问题</x:v>
      </x:c>
      <x:c r="AF34" s="29" t="str">
        <x:v>否</x:v>
      </x:c>
      <x:c r="AG34" s="33" t="n">
        <x:v>3</x:v>
      </x:c>
      <x:c r="AH34" s="33" t="n">
        <x:f>Y34/Q34</x:f>
        <x:v>4</x:v>
      </x:c>
      <x:c r="AI34" s="33" t="n">
        <x:f>Z34/Q34</x:f>
        <x:v>2</x:v>
      </x:c>
      <x:c r="AJ34" s="33" t="n">
        <x:f>AA34/Q34</x:f>
        <x:v>2</x:v>
      </x:c>
      <x:c r="AK34" s="33" t="n">
        <x:f>AB34/Q34</x:f>
        <x:v>4</x:v>
      </x:c>
      <x:c r="AL34" s="41" t="n">
        <x:v>25</x:v>
      </x:c>
      <x:c r="AM34" s="33" t="n">
        <x:v>4</x:v>
      </x:c>
      <x:c r="AN34" s="33" t="n">
        <x:v>2</x:v>
      </x:c>
      <x:c r="AO34" s="33" t="n">
        <x:v>2</x:v>
      </x:c>
      <x:c r="AP34" s="33" t="n">
        <x:v>4</x:v>
      </x:c>
    </x:row>
    <x:row r="35" ht="72" customHeight="1">
      <x:c r="A35" s="16" t="str">
        <x:v>T4.2</x:v>
      </x:c>
      <x:c r="B35" s="16" t="str">
        <x:v>完成本地模块集成</x:v>
      </x:c>
      <x:c r="C35" s="16" t="str">
        <x:v>FR-01～28, IF-01～04</x:v>
      </x:c>
      <x:c r="D35" s="16" t="str">
        <x:v>T3.11FS; T3.13FS; T3.15FS; T3.16FS; T3.17FS; T3.19FS; T4.1FS; T3.12FS</x:v>
      </x:c>
      <x:c r="E35" s="17" t="n">
        <x:f>INT((T35-'项目总表'!$B$15)/7)+1</x:f>
        <x:v>6</x:v>
      </x:c>
      <x:c r="F35" s="17" t="n">
        <x:f>INT((U35-'项目总表'!$B$15)/7)+1</x:f>
        <x:v>6</x:v>
      </x:c>
      <x:c r="G35" s="17" t="str">
        <x:f>IF(COUNT($E35:$F35)&lt;2,"",IF(AND(G$6&gt;=$E35,G$6&lt;=$F35),"■",""))</x:f>
      </x:c>
      <x:c r="H35" s="17" t="str">
        <x:f>IF(COUNT($E35:$F35)&lt;2,"",IF(AND(H$6&gt;=$E35,H$6&lt;=$F35),"■",""))</x:f>
      </x:c>
      <x:c r="I35" s="17" t="str">
        <x:f>IF(COUNT($E35:$F35)&lt;2,"",IF(AND(I$6&gt;=$E35,I$6&lt;=$F35),"■",""))</x:f>
      </x:c>
      <x:c r="J35" s="17" t="str">
        <x:f>IF(COUNT($E35:$F35)&lt;2,"",IF(AND(J$6&gt;=$E35,J$6&lt;=$F35),"■",""))</x:f>
      </x:c>
      <x:c r="K35" s="17" t="str">
        <x:f>IF(COUNT($E35:$F35)&lt;2,"",IF(AND(K$6&gt;=$E35,K$6&lt;=$F35),"■",""))</x:f>
      </x:c>
      <x:c r="L35" s="17" t="str">
        <x:f>IF(COUNT($E35:$F35)&lt;2,"",IF(AND(L$6&gt;=$E35,L$6&lt;=$F35),"■",""))</x:f>
        <x:v>■</x:v>
      </x:c>
      <x:c r="M35" s="17" t="str">
        <x:f>IF(COUNT($E35:$F35)&lt;2,"",IF(AND(M$6&gt;=$E35,M$6&lt;=$F35),"■",""))</x:f>
      </x:c>
      <x:c r="N35" s="17" t="str">
        <x:f>IF(COUNT($E35:$F35)&lt;2,"",IF(AND(N$6&gt;=$E35,N$6&lt;=$F35),"■",""))</x:f>
      </x:c>
      <x:c r="O35" s="9" t="str">
        <x:v>集成</x:v>
      </x:c>
      <x:c r="P35" s="9" t="str">
        <x:v>可构建本地集成版本</x:v>
      </x:c>
      <x:c r="Q35" s="19" t="n">
        <x:v>2</x:v>
      </x:c>
      <x:c r="R35" s="16" t="str">
        <x:v>R02</x:v>
      </x:c>
      <x:c r="S35" s="19" t="n">
        <x:f>SUM(Y35:AB35)</x:f>
        <x:v>34</x:v>
      </x:c>
      <x:c r="T35" s="12" t="n">
        <x:f>WORKDAY('项目总表'!$B$15-1,AL35)</x:f>
        <x:v>46349</x:v>
      </x:c>
      <x:c r="U35" s="12" t="n">
        <x:f>WORKDAY(T35-1,Q35)</x:f>
        <x:v>46350</x:v>
      </x:c>
      <x:c r="V35" s="9" t="str">
        <x:v>集成评审</x:v>
      </x:c>
      <x:c r="W35" s="9" t="str">
        <x:v>多模块集成、数据一致性和联调</x:v>
      </x:c>
      <x:c r="X35" s="9" t="str">
        <x:v>仿真计划，未执行</x:v>
      </x:c>
      <x:c r="Y35" s="34" t="n">
        <x:f>AM35</x:f>
        <x:v>8</x:v>
      </x:c>
      <x:c r="Z35" s="34" t="n">
        <x:f>AN35</x:f>
        <x:v>10</x:v>
      </x:c>
      <x:c r="AA35" s="34" t="n">
        <x:f>AO35</x:f>
        <x:v>8</x:v>
      </x:c>
      <x:c r="AB35" s="34" t="n">
        <x:f>AP35</x:f>
        <x:v>8</x:v>
      </x:c>
      <x:c r="AC35" s="34" t="n">
        <x:f>Y35*'资源计划'!$F$8+Z35*'资源计划'!$F$9+AA35*'资源计划'!$F$10+AB35*'资源计划'!$F$11</x:f>
        <x:v>3520</x:v>
      </x:c>
      <x:c r="AD35" s="29" t="str">
        <x:v>高</x:v>
      </x:c>
      <x:c r="AE35" s="29" t="str">
        <x:v>自下而上估算：按WBS活动分资源人时×仿真费率汇总；复杂度、复用条件和工作量假设逐轮复核。多模块集成、数据一致性和联调</x:v>
      </x:c>
      <x:c r="AF35" s="29" t="str">
        <x:v>否</x:v>
      </x:c>
      <x:c r="AG35" s="33" t="n">
        <x:v>3</x:v>
      </x:c>
      <x:c r="AH35" s="33" t="n">
        <x:f>Y35/Q35</x:f>
        <x:v>4</x:v>
      </x:c>
      <x:c r="AI35" s="33" t="n">
        <x:f>Z35/Q35</x:f>
        <x:v>5</x:v>
      </x:c>
      <x:c r="AJ35" s="33" t="n">
        <x:f>AA35/Q35</x:f>
        <x:v>4</x:v>
      </x:c>
      <x:c r="AK35" s="33" t="n">
        <x:f>AB35/Q35</x:f>
        <x:v>4</x:v>
      </x:c>
      <x:c r="AL35" s="41" t="n">
        <x:v>26</x:v>
      </x:c>
      <x:c r="AM35" s="33" t="n">
        <x:v>8</x:v>
      </x:c>
      <x:c r="AN35" s="33" t="n">
        <x:v>10</x:v>
      </x:c>
      <x:c r="AO35" s="33" t="n">
        <x:v>8</x:v>
      </x:c>
      <x:c r="AP35" s="33" t="n">
        <x:v>8</x:v>
      </x:c>
    </x:row>
    <x:row r="36" ht="72" customHeight="1">
      <x:c r="A36" s="16" t="str">
        <x:v>T4.3</x:v>
      </x:c>
      <x:c r="B36" s="16" t="str">
        <x:v>执行业务功能与边界测试</x:v>
      </x:c>
      <x:c r="C36" s="16" t="str">
        <x:v>FR-01～28, IF-02, IF-03</x:v>
      </x:c>
      <x:c r="D36" s="16" t="str">
        <x:v>T4.2FS; T1.3FS</x:v>
      </x:c>
      <x:c r="E36" s="17" t="n">
        <x:f>INT((T36-'项目总表'!$B$15)/7)+1</x:f>
        <x:v>7</x:v>
      </x:c>
      <x:c r="F36" s="17" t="n">
        <x:f>INT((U36-'项目总表'!$B$15)/7)+1</x:f>
        <x:v>7</x:v>
      </x:c>
      <x:c r="G36" s="17" t="str">
        <x:f>IF(COUNT($E36:$F36)&lt;2,"",IF(AND(G$6&gt;=$E36,G$6&lt;=$F36),"■",""))</x:f>
      </x:c>
      <x:c r="H36" s="17" t="str">
        <x:f>IF(COUNT($E36:$F36)&lt;2,"",IF(AND(H$6&gt;=$E36,H$6&lt;=$F36),"■",""))</x:f>
      </x:c>
      <x:c r="I36" s="17" t="str">
        <x:f>IF(COUNT($E36:$F36)&lt;2,"",IF(AND(I$6&gt;=$E36,I$6&lt;=$F36),"■",""))</x:f>
      </x:c>
      <x:c r="J36" s="17" t="str">
        <x:f>IF(COUNT($E36:$F36)&lt;2,"",IF(AND(J$6&gt;=$E36,J$6&lt;=$F36),"■",""))</x:f>
      </x:c>
      <x:c r="K36" s="17" t="str">
        <x:f>IF(COUNT($E36:$F36)&lt;2,"",IF(AND(K$6&gt;=$E36,K$6&lt;=$F36),"■",""))</x:f>
      </x:c>
      <x:c r="L36" s="17" t="str">
        <x:f>IF(COUNT($E36:$F36)&lt;2,"",IF(AND(L$6&gt;=$E36,L$6&lt;=$F36),"■",""))</x:f>
      </x:c>
      <x:c r="M36" s="17" t="str">
        <x:f>IF(COUNT($E36:$F36)&lt;2,"",IF(AND(M$6&gt;=$E36,M$6&lt;=$F36),"■",""))</x:f>
        <x:v>■</x:v>
      </x:c>
      <x:c r="N36" s="17" t="str">
        <x:f>IF(COUNT($E36:$F36)&lt;2,"",IF(AND(N$6&gt;=$E36,N$6&lt;=$F36),"■",""))</x:f>
      </x:c>
      <x:c r="O36" s="9" t="str">
        <x:v>测试</x:v>
      </x:c>
      <x:c r="P36" s="9" t="str">
        <x:v>AC-01～09结果与缺陷记录</x:v>
      </x:c>
      <x:c r="Q36" s="19" t="n">
        <x:v>3</x:v>
      </x:c>
      <x:c r="R36" s="16" t="str">
        <x:v>R04</x:v>
      </x:c>
      <x:c r="S36" s="19" t="n">
        <x:f>SUM(Y36:AB36)</x:f>
        <x:v>36</x:v>
      </x:c>
      <x:c r="T36" s="12" t="n">
        <x:f>WORKDAY('项目总表'!$B$15-1,AL36)</x:f>
        <x:v>46356</x:v>
      </x:c>
      <x:c r="U36" s="12" t="n">
        <x:f>WORKDAY(T36-1,Q36)</x:f>
        <x:v>46358</x:v>
      </x:c>
      <x:c r="V36" s="9" t="str">
        <x:v>AC-01～09</x:v>
      </x:c>
      <x:c r="W36" s="9" t="str">
        <x:v>QA主导，开发人员并行执行AC-01至09</x:v>
      </x:c>
      <x:c r="X36" s="9" t="str">
        <x:v>仿真计划，未执行</x:v>
      </x:c>
      <x:c r="Y36" s="34" t="n">
        <x:f>AM36</x:f>
        <x:v>8</x:v>
      </x:c>
      <x:c r="Z36" s="34" t="n">
        <x:f>AN36</x:f>
        <x:v>8</x:v>
      </x:c>
      <x:c r="AA36" s="34" t="n">
        <x:f>AO36</x:f>
        <x:v>8</x:v>
      </x:c>
      <x:c r="AB36" s="34" t="n">
        <x:f>AP36</x:f>
        <x:v>12</x:v>
      </x:c>
      <x:c r="AC36" s="34" t="n">
        <x:f>Y36*'资源计划'!$F$8+Z36*'资源计划'!$F$9+AA36*'资源计划'!$F$10+AB36*'资源计划'!$F$11</x:f>
        <x:v>3640</x:v>
      </x:c>
      <x:c r="AD36" s="29" t="str">
        <x:v>高</x:v>
      </x:c>
      <x:c r="AE36" s="29" t="str">
        <x:v>自下而上估算：按WBS活动分资源人时×仿真费率汇总；复杂度、复用条件和工作量假设逐轮复核。QA主导，开发人员并行执行AC-01至09</x:v>
      </x:c>
      <x:c r="AF36" s="29" t="str">
        <x:v>否</x:v>
      </x:c>
      <x:c r="AG36" s="33" t="n">
        <x:v>1</x:v>
      </x:c>
      <x:c r="AH36" s="33" t="n">
        <x:f>Y36/Q36</x:f>
        <x:v>2.6666666666666665</x:v>
      </x:c>
      <x:c r="AI36" s="33" t="n">
        <x:f>Z36/Q36</x:f>
        <x:v>2.6666666666666665</x:v>
      </x:c>
      <x:c r="AJ36" s="33" t="n">
        <x:f>AA36/Q36</x:f>
        <x:v>2.6666666666666665</x:v>
      </x:c>
      <x:c r="AK36" s="33" t="n">
        <x:f>AB36/Q36</x:f>
        <x:v>4</x:v>
      </x:c>
      <x:c r="AL36" s="41" t="n">
        <x:v>31</x:v>
      </x:c>
      <x:c r="AM36" s="33" t="n">
        <x:v>8</x:v>
      </x:c>
      <x:c r="AN36" s="33" t="n">
        <x:v>8</x:v>
      </x:c>
      <x:c r="AO36" s="33" t="n">
        <x:v>8</x:v>
      </x:c>
      <x:c r="AP36" s="33" t="n">
        <x:v>12</x:v>
      </x:c>
    </x:row>
    <x:row r="37" ht="72" customHeight="1">
      <x:c r="A37" s="16" t="str">
        <x:v>T4.4</x:v>
      </x:c>
      <x:c r="B37" s="16" t="str">
        <x:v>验证MOCK回执与黄金摘要</x:v>
      </x:c>
      <x:c r="C37" s="16" t="str">
        <x:v>FR-26, IF-01</x:v>
      </x:c>
      <x:c r="D37" s="16" t="str">
        <x:v>T3.17FS; T1.3FS</x:v>
      </x:c>
      <x:c r="E37" s="17" t="n">
        <x:f>INT((T37-'项目总表'!$B$15)/7)+1</x:f>
        <x:v>5</x:v>
      </x:c>
      <x:c r="F37" s="17" t="n">
        <x:f>INT((U37-'项目总表'!$B$15)/7)+1</x:f>
        <x:v>5</x:v>
      </x:c>
      <x:c r="G37" s="17" t="str">
        <x:f>IF(COUNT($E37:$F37)&lt;2,"",IF(AND(G$6&gt;=$E37,G$6&lt;=$F37),"■",""))</x:f>
      </x:c>
      <x:c r="H37" s="17" t="str">
        <x:f>IF(COUNT($E37:$F37)&lt;2,"",IF(AND(H$6&gt;=$E37,H$6&lt;=$F37),"■",""))</x:f>
      </x:c>
      <x:c r="I37" s="17" t="str">
        <x:f>IF(COUNT($E37:$F37)&lt;2,"",IF(AND(I$6&gt;=$E37,I$6&lt;=$F37),"■",""))</x:f>
      </x:c>
      <x:c r="J37" s="17" t="str">
        <x:f>IF(COUNT($E37:$F37)&lt;2,"",IF(AND(J$6&gt;=$E37,J$6&lt;=$F37),"■",""))</x:f>
      </x:c>
      <x:c r="K37" s="17" t="str">
        <x:f>IF(COUNT($E37:$F37)&lt;2,"",IF(AND(K$6&gt;=$E37,K$6&lt;=$F37),"■",""))</x:f>
        <x:v>■</x:v>
      </x:c>
      <x:c r="L37" s="17" t="str">
        <x:f>IF(COUNT($E37:$F37)&lt;2,"",IF(AND(L$6&gt;=$E37,L$6&lt;=$F37),"■",""))</x:f>
      </x:c>
      <x:c r="M37" s="17" t="str">
        <x:f>IF(COUNT($E37:$F37)&lt;2,"",IF(AND(M$6&gt;=$E37,M$6&lt;=$F37),"■",""))</x:f>
      </x:c>
      <x:c r="N37" s="17" t="str">
        <x:f>IF(COUNT($E37:$F37)&lt;2,"",IF(AND(N$6&gt;=$E37,N$6&lt;=$F37),"■",""))</x:f>
      </x:c>
      <x:c r="O37" s="9" t="str">
        <x:v>测试</x:v>
      </x:c>
      <x:c r="P37" s="9" t="str">
        <x:v>跨语言摘要、回执及异常恢复证据</x:v>
      </x:c>
      <x:c r="Q37" s="19" t="n">
        <x:v>2</x:v>
      </x:c>
      <x:c r="R37" s="16" t="str">
        <x:v>R04</x:v>
      </x:c>
      <x:c r="S37" s="19" t="n">
        <x:f>SUM(Y37:AB37)</x:f>
        <x:v>16</x:v>
      </x:c>
      <x:c r="T37" s="12" t="n">
        <x:f>WORKDAY('项目总表'!$B$15-1,AL37)</x:f>
        <x:v>46343</x:v>
      </x:c>
      <x:c r="U37" s="12" t="n">
        <x:f>WORKDAY(T37-1,Q37)</x:f>
        <x:v>46344</x:v>
      </x:c>
      <x:c r="V37" s="9" t="str">
        <x:v>AC-10A</x:v>
      </x:c>
      <x:c r="W37" s="9" t="str">
        <x:v>黄金摘要、回执超时与恢复测试</x:v>
      </x:c>
      <x:c r="X37" s="9" t="str">
        <x:v>仿真计划，未执行</x:v>
      </x:c>
      <x:c r="Y37" s="34" t="n">
        <x:f>AM37</x:f>
        <x:v>0</x:v>
      </x:c>
      <x:c r="Z37" s="34" t="n">
        <x:f>AN37</x:f>
        <x:v>8</x:v>
      </x:c>
      <x:c r="AA37" s="34" t="n">
        <x:f>AO37</x:f>
        <x:v>0</x:v>
      </x:c>
      <x:c r="AB37" s="34" t="n">
        <x:f>AP37</x:f>
        <x:v>8</x:v>
      </x:c>
      <x:c r="AC37" s="34" t="n">
        <x:f>Y37*'资源计划'!$F$8+Z37*'资源计划'!$F$9+AA37*'资源计划'!$F$10+AB37*'资源计划'!$F$11</x:f>
        <x:v>1680</x:v>
      </x:c>
      <x:c r="AD37" s="29" t="str">
        <x:v>中</x:v>
      </x:c>
      <x:c r="AE37" s="29" t="str">
        <x:v>自下而上估算：按WBS活动分资源人时×仿真费率汇总；复杂度、复用条件和工作量假设逐轮复核。黄金摘要、回执超时与恢复测试</x:v>
      </x:c>
      <x:c r="AF37" s="29" t="str">
        <x:v>否</x:v>
      </x:c>
      <x:c r="AG37" s="33" t="n">
        <x:v>11</x:v>
      </x:c>
      <x:c r="AH37" s="33" t="n">
        <x:f>Y37/Q37</x:f>
        <x:v>0</x:v>
      </x:c>
      <x:c r="AI37" s="33" t="n">
        <x:f>Z37/Q37</x:f>
        <x:v>4</x:v>
      </x:c>
      <x:c r="AJ37" s="33" t="n">
        <x:f>AA37/Q37</x:f>
        <x:v>0</x:v>
      </x:c>
      <x:c r="AK37" s="33" t="n">
        <x:f>AB37/Q37</x:f>
        <x:v>4</x:v>
      </x:c>
      <x:c r="AL37" s="41" t="n">
        <x:v>22</x:v>
      </x:c>
      <x:c r="AM37" s="33" t="n">
        <x:v>0</x:v>
      </x:c>
      <x:c r="AN37" s="33" t="n">
        <x:v>8</x:v>
      </x:c>
      <x:c r="AO37" s="33" t="n">
        <x:v>0</x:v>
      </x:c>
      <x:c r="AP37" s="33" t="n">
        <x:v>8</x:v>
      </x:c>
    </x:row>
    <x:row r="38" ht="72" customHeight="1">
      <x:c r="A38" s="16" t="str">
        <x:v>T4.5</x:v>
      </x:c>
      <x:c r="B38" s="16" t="str">
        <x:v>完成实际国家交换验证</x:v>
      </x:c>
      <x:c r="C38" s="16" t="str">
        <x:v>FR-26, IF-01</x:v>
      </x:c>
      <x:c r="D38" s="16" t="str">
        <x:v>T3.18FS; T2.4FS</x:v>
      </x:c>
      <x:c r="E38" s="17" t="n">
        <x:f>INT((T38-'项目总表'!$B$15)/7)+1</x:f>
        <x:v>5</x:v>
      </x:c>
      <x:c r="F38" s="17" t="n">
        <x:f>INT((U38-'项目总表'!$B$15)/7)+1</x:f>
        <x:v>5</x:v>
      </x:c>
      <x:c r="G38" s="17" t="str">
        <x:f>IF(COUNT($E38:$F38)&lt;2,"",IF(AND(G$6&gt;=$E38,G$6&lt;=$F38),"■",""))</x:f>
      </x:c>
      <x:c r="H38" s="17" t="str">
        <x:f>IF(COUNT($E38:$F38)&lt;2,"",IF(AND(H$6&gt;=$E38,H$6&lt;=$F38),"■",""))</x:f>
      </x:c>
      <x:c r="I38" s="17" t="str">
        <x:f>IF(COUNT($E38:$F38)&lt;2,"",IF(AND(I$6&gt;=$E38,I$6&lt;=$F38),"■",""))</x:f>
      </x:c>
      <x:c r="J38" s="17" t="str">
        <x:f>IF(COUNT($E38:$F38)&lt;2,"",IF(AND(J$6&gt;=$E38,J$6&lt;=$F38),"■",""))</x:f>
      </x:c>
      <x:c r="K38" s="17" t="str">
        <x:f>IF(COUNT($E38:$F38)&lt;2,"",IF(AND(K$6&gt;=$E38,K$6&lt;=$F38),"■",""))</x:f>
        <x:v>■</x:v>
      </x:c>
      <x:c r="L38" s="17" t="str">
        <x:f>IF(COUNT($E38:$F38)&lt;2,"",IF(AND(L$6&gt;=$E38,L$6&lt;=$F38),"■",""))</x:f>
      </x:c>
      <x:c r="M38" s="17" t="str">
        <x:f>IF(COUNT($E38:$F38)&lt;2,"",IF(AND(M$6&gt;=$E38,M$6&lt;=$F38),"■",""))</x:f>
      </x:c>
      <x:c r="N38" s="17" t="str">
        <x:f>IF(COUNT($E38:$F38)&lt;2,"",IF(AND(N$6&gt;=$E38,N$6&lt;=$F38),"■",""))</x:f>
      </x:c>
      <x:c r="O38" s="9" t="str">
        <x:v>条件测试</x:v>
      </x:c>
      <x:c r="P38" s="9" t="str">
        <x:v>实际接收凭据与AC-10B记录</x:v>
      </x:c>
      <x:c r="Q38" s="19" t="n">
        <x:v>2</x:v>
      </x:c>
      <x:c r="R38" s="16" t="str">
        <x:v>R04</x:v>
      </x:c>
      <x:c r="S38" s="19" t="n">
        <x:f>SUM(Y38:AB38)</x:f>
        <x:v>20</x:v>
      </x:c>
      <x:c r="T38" s="12" t="n">
        <x:f>WORKDAY('项目总表'!$B$15-1,AL38)</x:f>
        <x:v>46345</x:v>
      </x:c>
      <x:c r="U38" s="12" t="n">
        <x:f>WORKDAY(T38-1,Q38)</x:f>
        <x:v>46346</x:v>
      </x:c>
      <x:c r="V38" s="9" t="str">
        <x:v>AC-10B</x:v>
      </x:c>
      <x:c r="W38" s="9" t="str">
        <x:v>计划受控真实交换验证；不填实际通过记录；按模块专长重新分工，测试部署成员兼工具及自动化开发</x:v>
      </x:c>
      <x:c r="X38" s="9" t="str">
        <x:v>仿真计划，未执行</x:v>
      </x:c>
      <x:c r="Y38" s="34" t="n">
        <x:f>AM38</x:f>
        <x:v>6</x:v>
      </x:c>
      <x:c r="Z38" s="34" t="n">
        <x:f>AN38</x:f>
        <x:v>10</x:v>
      </x:c>
      <x:c r="AA38" s="34" t="n">
        <x:f>AO38</x:f>
        <x:v>0</x:v>
      </x:c>
      <x:c r="AB38" s="34" t="n">
        <x:f>AP38</x:f>
        <x:v>4</x:v>
      </x:c>
      <x:c r="AC38" s="34" t="n">
        <x:f>Y38*'资源计划'!$F$8+Z38*'资源计划'!$F$9+AA38*'资源计划'!$F$10+AB38*'资源计划'!$F$11</x:f>
        <x:v>2160</x:v>
      </x:c>
      <x:c r="AD38" s="29" t="str">
        <x:v>高</x:v>
      </x:c>
      <x:c r="AE38" s="29" t="str">
        <x:v>自下而上估算：按WBS活动分资源人时×仿真费率汇总；复杂度、复用条件和工作量假设逐轮复核。外部协议和验证条件未确认；不预置未经证实的模型参数。计划受控真实交换验证；不填实际通过记录；按模块专长重新分工，测试部署成员兼工具及自动化开发</x:v>
      </x:c>
      <x:c r="AF38" s="29" t="str">
        <x:v>否</x:v>
      </x:c>
      <x:c r="AG38" s="33" t="n">
        <x:v>9</x:v>
      </x:c>
      <x:c r="AH38" s="33" t="n">
        <x:f>Y38/Q38</x:f>
        <x:v>3</x:v>
      </x:c>
      <x:c r="AI38" s="33" t="n">
        <x:f>Z38/Q38</x:f>
        <x:v>5</x:v>
      </x:c>
      <x:c r="AJ38" s="33" t="n">
        <x:f>AA38/Q38</x:f>
        <x:v>0</x:v>
      </x:c>
      <x:c r="AK38" s="33" t="n">
        <x:f>AB38/Q38</x:f>
        <x:v>2</x:v>
      </x:c>
      <x:c r="AL38" s="41" t="n">
        <x:v>24</x:v>
      </x:c>
      <x:c r="AM38" s="33" t="n">
        <x:v>6</x:v>
      </x:c>
      <x:c r="AN38" s="33" t="n">
        <x:v>10</x:v>
      </x:c>
      <x:c r="AO38" s="33" t="n">
        <x:v>0</x:v>
      </x:c>
      <x:c r="AP38" s="33" t="n">
        <x:v>4</x:v>
      </x:c>
    </x:row>
    <x:row r="39" ht="72" customHeight="1">
      <x:c r="A39" s="16" t="str">
        <x:v>T4.6</x:v>
      </x:c>
      <x:c r="B39" s="16" t="str">
        <x:v>验证安全、认证和并发一致性</x:v>
      </x:c>
      <x:c r="C39" s="16" t="str">
        <x:v>NFR-06～09, FR-01, FR-27, IF-02</x:v>
      </x:c>
      <x:c r="D39" s="16" t="str">
        <x:v>T4.2FS; T1.3FS</x:v>
      </x:c>
      <x:c r="E39" s="17" t="n">
        <x:f>INT((T39-'项目总表'!$B$15)/7)+1</x:f>
        <x:v>6</x:v>
      </x:c>
      <x:c r="F39" s="17" t="n">
        <x:f>INT((U39-'项目总表'!$B$15)/7)+1</x:f>
        <x:v>6</x:v>
      </x:c>
      <x:c r="G39" s="17" t="str">
        <x:f>IF(COUNT($E39:$F39)&lt;2,"",IF(AND(G$6&gt;=$E39,G$6&lt;=$F39),"■",""))</x:f>
      </x:c>
      <x:c r="H39" s="17" t="str">
        <x:f>IF(COUNT($E39:$F39)&lt;2,"",IF(AND(H$6&gt;=$E39,H$6&lt;=$F39),"■",""))</x:f>
      </x:c>
      <x:c r="I39" s="17" t="str">
        <x:f>IF(COUNT($E39:$F39)&lt;2,"",IF(AND(I$6&gt;=$E39,I$6&lt;=$F39),"■",""))</x:f>
      </x:c>
      <x:c r="J39" s="17" t="str">
        <x:f>IF(COUNT($E39:$F39)&lt;2,"",IF(AND(J$6&gt;=$E39,J$6&lt;=$F39),"■",""))</x:f>
      </x:c>
      <x:c r="K39" s="17" t="str">
        <x:f>IF(COUNT($E39:$F39)&lt;2,"",IF(AND(K$6&gt;=$E39,K$6&lt;=$F39),"■",""))</x:f>
      </x:c>
      <x:c r="L39" s="17" t="str">
        <x:f>IF(COUNT($E39:$F39)&lt;2,"",IF(AND(L$6&gt;=$E39,L$6&lt;=$F39),"■",""))</x:f>
        <x:v>■</x:v>
      </x:c>
      <x:c r="M39" s="17" t="str">
        <x:f>IF(COUNT($E39:$F39)&lt;2,"",IF(AND(M$6&gt;=$E39,M$6&lt;=$F39),"■",""))</x:f>
      </x:c>
      <x:c r="N39" s="17" t="str">
        <x:f>IF(COUNT($E39:$F39)&lt;2,"",IF(AND(N$6&gt;=$E39,N$6&lt;=$F39),"■",""))</x:f>
      </x:c>
      <x:c r="O39" s="9" t="str">
        <x:v>测试</x:v>
      </x:c>
      <x:c r="P39" s="9" t="str">
        <x:v>越权、漏洞、限流与并发证据</x:v>
      </x:c>
      <x:c r="Q39" s="19" t="n">
        <x:v>3</x:v>
      </x:c>
      <x:c r="R39" s="16" t="str">
        <x:v>R04</x:v>
      </x:c>
      <x:c r="S39" s="19" t="n">
        <x:f>SUM(Y39:AB39)</x:f>
        <x:v>28</x:v>
      </x:c>
      <x:c r="T39" s="12" t="n">
        <x:f>WORKDAY('项目总表'!$B$15-1,AL39)</x:f>
        <x:v>46351</x:v>
      </x:c>
      <x:c r="U39" s="12" t="n">
        <x:f>WORKDAY(T39-1,Q39)</x:f>
        <x:v>46353</x:v>
      </x:c>
      <x:c r="V39" s="9" t="str">
        <x:v>AC-05, AC-08, AC-09, AC-13</x:v>
      </x:c>
      <x:c r="W39" s="9" t="str">
        <x:v>QA制定用例，PM与后端分担鉴权和并发验证</x:v>
      </x:c>
      <x:c r="X39" s="9" t="str">
        <x:v>仿真计划，未执行</x:v>
      </x:c>
      <x:c r="Y39" s="34" t="n">
        <x:f>AM39</x:f>
        <x:v>10</x:v>
      </x:c>
      <x:c r="Z39" s="34" t="n">
        <x:f>AN39</x:f>
        <x:v>10</x:v>
      </x:c>
      <x:c r="AA39" s="34" t="n">
        <x:f>AO39</x:f>
        <x:v>0</x:v>
      </x:c>
      <x:c r="AB39" s="34" t="n">
        <x:f>AP39</x:f>
        <x:v>8</x:v>
      </x:c>
      <x:c r="AC39" s="34" t="n">
        <x:f>Y39*'资源计划'!$F$8+Z39*'资源计划'!$F$9+AA39*'资源计划'!$F$10+AB39*'资源计划'!$F$11</x:f>
        <x:v>2920</x:v>
      </x:c>
      <x:c r="AD39" s="29" t="str">
        <x:v>高</x:v>
      </x:c>
      <x:c r="AE39" s="29" t="str">
        <x:v>自下而上估算：按WBS活动分资源人时×仿真费率汇总；复杂度、复用条件和工作量假设逐轮复核。QA制定用例，PM与后端分担鉴权和并发验证</x:v>
      </x:c>
      <x:c r="AF39" s="29" t="str">
        <x:v>否</x:v>
      </x:c>
      <x:c r="AG39" s="33" t="n">
        <x:v>4</x:v>
      </x:c>
      <x:c r="AH39" s="33" t="n">
        <x:f>Y39/Q39</x:f>
        <x:v>3.3333333333333335</x:v>
      </x:c>
      <x:c r="AI39" s="33" t="n">
        <x:f>Z39/Q39</x:f>
        <x:v>3.3333333333333335</x:v>
      </x:c>
      <x:c r="AJ39" s="33" t="n">
        <x:f>AA39/Q39</x:f>
        <x:v>0</x:v>
      </x:c>
      <x:c r="AK39" s="33" t="n">
        <x:f>AB39/Q39</x:f>
        <x:v>2.6666666666666665</x:v>
      </x:c>
      <x:c r="AL39" s="41" t="n">
        <x:v>28</x:v>
      </x:c>
      <x:c r="AM39" s="33" t="n">
        <x:v>10</x:v>
      </x:c>
      <x:c r="AN39" s="33" t="n">
        <x:v>10</x:v>
      </x:c>
      <x:c r="AO39" s="33" t="n">
        <x:v>0</x:v>
      </x:c>
      <x:c r="AP39" s="33" t="n">
        <x:v>8</x:v>
      </x:c>
    </x:row>
    <x:row r="40" ht="72" customHeight="1">
      <x:c r="A40" s="16" t="str">
        <x:v>T4.7</x:v>
      </x:c>
      <x:c r="B40" s="16" t="str">
        <x:v>执行容量、性能与导出测试</x:v>
      </x:c>
      <x:c r="C40" s="16" t="str">
        <x:v>NFR-01～03</x:v>
      </x:c>
      <x:c r="D40" s="16" t="str">
        <x:v>T4.2FS; T1.3FS</x:v>
      </x:c>
      <x:c r="E40" s="17" t="n">
        <x:f>INT((T40-'项目总表'!$B$15)/7)+1</x:f>
        <x:v>6</x:v>
      </x:c>
      <x:c r="F40" s="17" t="n">
        <x:f>INT((U40-'项目总表'!$B$15)/7)+1</x:f>
        <x:v>6</x:v>
      </x:c>
      <x:c r="G40" s="17" t="str">
        <x:f>IF(COUNT($E40:$F40)&lt;2,"",IF(AND(G$6&gt;=$E40,G$6&lt;=$F40),"■",""))</x:f>
      </x:c>
      <x:c r="H40" s="17" t="str">
        <x:f>IF(COUNT($E40:$F40)&lt;2,"",IF(AND(H$6&gt;=$E40,H$6&lt;=$F40),"■",""))</x:f>
      </x:c>
      <x:c r="I40" s="17" t="str">
        <x:f>IF(COUNT($E40:$F40)&lt;2,"",IF(AND(I$6&gt;=$E40,I$6&lt;=$F40),"■",""))</x:f>
      </x:c>
      <x:c r="J40" s="17" t="str">
        <x:f>IF(COUNT($E40:$F40)&lt;2,"",IF(AND(J$6&gt;=$E40,J$6&lt;=$F40),"■",""))</x:f>
      </x:c>
      <x:c r="K40" s="17" t="str">
        <x:f>IF(COUNT($E40:$F40)&lt;2,"",IF(AND(K$6&gt;=$E40,K$6&lt;=$F40),"■",""))</x:f>
      </x:c>
      <x:c r="L40" s="17" t="str">
        <x:f>IF(COUNT($E40:$F40)&lt;2,"",IF(AND(L$6&gt;=$E40,L$6&lt;=$F40),"■",""))</x:f>
        <x:v>■</x:v>
      </x:c>
      <x:c r="M40" s="17" t="str">
        <x:f>IF(COUNT($E40:$F40)&lt;2,"",IF(AND(M$6&gt;=$E40,M$6&lt;=$F40),"■",""))</x:f>
      </x:c>
      <x:c r="N40" s="17" t="str">
        <x:f>IF(COUNT($E40:$F40)&lt;2,"",IF(AND(N$6&gt;=$E40,N$6&lt;=$F40),"■",""))</x:f>
      </x:c>
      <x:c r="O40" s="9" t="str">
        <x:v>测试</x:v>
      </x:c>
      <x:c r="P40" s="9" t="str">
        <x:v>负载、P95、成功率和导出报告</x:v>
      </x:c>
      <x:c r="Q40" s="19" t="n">
        <x:v>3</x:v>
      </x:c>
      <x:c r="R40" s="16" t="str">
        <x:v>R04</x:v>
      </x:c>
      <x:c r="S40" s="19" t="n">
        <x:f>SUM(Y40:AB40)</x:f>
        <x:v>24</x:v>
      </x:c>
      <x:c r="T40" s="12" t="n">
        <x:f>WORKDAY('项目总表'!$B$15-1,AL40)</x:f>
        <x:v>46351</x:v>
      </x:c>
      <x:c r="U40" s="12" t="n">
        <x:f>WORKDAY(T40-1,Q40)</x:f>
        <x:v>46353</x:v>
      </x:c>
      <x:c r="V40" s="9" t="str">
        <x:v>AC-11</x:v>
      </x:c>
      <x:c r="W40" s="9" t="str">
        <x:v>独立负载机、合成60万月报与200并发</x:v>
      </x:c>
      <x:c r="X40" s="9" t="str">
        <x:v>仿真计划，未执行</x:v>
      </x:c>
      <x:c r="Y40" s="34" t="n">
        <x:f>AM40</x:f>
        <x:v>0</x:v>
      </x:c>
      <x:c r="Z40" s="34" t="n">
        <x:f>AN40</x:f>
        <x:v>8</x:v>
      </x:c>
      <x:c r="AA40" s="34" t="n">
        <x:f>AO40</x:f>
        <x:v>8</x:v>
      </x:c>
      <x:c r="AB40" s="34" t="n">
        <x:f>AP40</x:f>
        <x:v>8</x:v>
      </x:c>
      <x:c r="AC40" s="34" t="n">
        <x:f>Y40*'资源计划'!$F$8+Z40*'资源计划'!$F$9+AA40*'资源计划'!$F$10+AB40*'资源计划'!$F$11</x:f>
        <x:v>2480</x:v>
      </x:c>
      <x:c r="AD40" s="29" t="str">
        <x:v>高</x:v>
      </x:c>
      <x:c r="AE40" s="29" t="str">
        <x:v>自下而上估算：按WBS活动分资源人时×仿真费率汇总；复杂度、复用条件和工作量假设逐轮复核。独立负载机、合成60万月报与200并发</x:v>
      </x:c>
      <x:c r="AF40" s="29" t="str">
        <x:v>否</x:v>
      </x:c>
      <x:c r="AG40" s="33" t="n">
        <x:v>4</x:v>
      </x:c>
      <x:c r="AH40" s="33" t="n">
        <x:f>Y40/Q40</x:f>
        <x:v>0</x:v>
      </x:c>
      <x:c r="AI40" s="33" t="n">
        <x:f>Z40/Q40</x:f>
        <x:v>2.6666666666666665</x:v>
      </x:c>
      <x:c r="AJ40" s="33" t="n">
        <x:f>AA40/Q40</x:f>
        <x:v>2.6666666666666665</x:v>
      </x:c>
      <x:c r="AK40" s="33" t="n">
        <x:f>AB40/Q40</x:f>
        <x:v>2.6666666666666665</x:v>
      </x:c>
      <x:c r="AL40" s="41" t="n">
        <x:v>28</x:v>
      </x:c>
      <x:c r="AM40" s="33" t="n">
        <x:v>0</x:v>
      </x:c>
      <x:c r="AN40" s="33" t="n">
        <x:v>8</x:v>
      </x:c>
      <x:c r="AO40" s="33" t="n">
        <x:v>8</x:v>
      </x:c>
      <x:c r="AP40" s="33" t="n">
        <x:v>8</x:v>
      </x:c>
    </x:row>
    <x:row r="41" ht="72" customHeight="1">
      <x:c r="A41" s="16" t="str">
        <x:v>T4.8</x:v>
      </x:c>
      <x:c r="B41" s="16" t="str">
        <x:v>验证备份恢复与72小时运行</x:v>
      </x:c>
      <x:c r="C41" s="16" t="str">
        <x:v>NFR-04, NFR-05</x:v>
      </x:c>
      <x:c r="D41" s="16" t="str">
        <x:v>T4.2FS; T3.19FS</x:v>
      </x:c>
      <x:c r="E41" s="17" t="n">
        <x:f>INT((T41-'项目总表'!$B$15)/7)+1</x:f>
        <x:v>6</x:v>
      </x:c>
      <x:c r="F41" s="17" t="n">
        <x:f>INT((U41-'项目总表'!$B$15)/7)+1</x:f>
        <x:v>7</x:v>
      </x:c>
      <x:c r="G41" s="17" t="str">
        <x:f>IF(COUNT($E41:$F41)&lt;2,"",IF(AND(G$6&gt;=$E41,G$6&lt;=$F41),"■",""))</x:f>
      </x:c>
      <x:c r="H41" s="17" t="str">
        <x:f>IF(COUNT($E41:$F41)&lt;2,"",IF(AND(H$6&gt;=$E41,H$6&lt;=$F41),"■",""))</x:f>
      </x:c>
      <x:c r="I41" s="17" t="str">
        <x:f>IF(COUNT($E41:$F41)&lt;2,"",IF(AND(I$6&gt;=$E41,I$6&lt;=$F41),"■",""))</x:f>
      </x:c>
      <x:c r="J41" s="17" t="str">
        <x:f>IF(COUNT($E41:$F41)&lt;2,"",IF(AND(J$6&gt;=$E41,J$6&lt;=$F41),"■",""))</x:f>
      </x:c>
      <x:c r="K41" s="17" t="str">
        <x:f>IF(COUNT($E41:$F41)&lt;2,"",IF(AND(K$6&gt;=$E41,K$6&lt;=$F41),"■",""))</x:f>
      </x:c>
      <x:c r="L41" s="17" t="str">
        <x:f>IF(COUNT($E41:$F41)&lt;2,"",IF(AND(L$6&gt;=$E41,L$6&lt;=$F41),"■",""))</x:f>
        <x:v>■</x:v>
      </x:c>
      <x:c r="M41" s="17" t="str">
        <x:f>IF(COUNT($E41:$F41)&lt;2,"",IF(AND(M$6&gt;=$E41,M$6&lt;=$F41),"■",""))</x:f>
        <x:v>■</x:v>
      </x:c>
      <x:c r="N41" s="17" t="str">
        <x:f>IF(COUNT($E41:$F41)&lt;2,"",IF(AND(N$6&gt;=$E41,N$6&lt;=$F41),"■",""))</x:f>
      </x:c>
      <x:c r="O41" s="9" t="str">
        <x:v>测试</x:v>
      </x:c>
      <x:c r="P41" s="9" t="str">
        <x:v>恢复、重启与72小时运行记录</x:v>
      </x:c>
      <x:c r="Q41" s="19" t="n">
        <x:v>4</x:v>
      </x:c>
      <x:c r="R41" s="16" t="str">
        <x:v>R04</x:v>
      </x:c>
      <x:c r="S41" s="19" t="n">
        <x:f>SUM(Y41:AB41)</x:f>
        <x:v>16</x:v>
      </x:c>
      <x:c r="T41" s="12" t="n">
        <x:f>WORKDAY('项目总表'!$B$15-1,AL41)</x:f>
        <x:v>46353</x:v>
      </x:c>
      <x:c r="U41" s="12" t="n">
        <x:f>WORKDAY(T41-1,Q41)</x:f>
        <x:v>46358</x:v>
      </x:c>
      <x:c r="V41" s="9" t="str">
        <x:v>AC-12</x:v>
      </x:c>
      <x:c r="W41" s="9" t="str">
        <x:v>4工作日覆盖不少于72自然小时，自动监测；人时只计配置、观察和恢复演练</x:v>
      </x:c>
      <x:c r="X41" s="9" t="str">
        <x:v>仿真计划，未执行</x:v>
      </x:c>
      <x:c r="Y41" s="34" t="n">
        <x:f>AM41</x:f>
        <x:v>4</x:v>
      </x:c>
      <x:c r="Z41" s="34" t="n">
        <x:f>AN41</x:f>
        <x:v>4</x:v>
      </x:c>
      <x:c r="AA41" s="34" t="n">
        <x:f>AO41</x:f>
        <x:v>0</x:v>
      </x:c>
      <x:c r="AB41" s="34" t="n">
        <x:f>AP41</x:f>
        <x:v>8</x:v>
      </x:c>
      <x:c r="AC41" s="34" t="n">
        <x:f>Y41*'资源计划'!$F$8+Z41*'资源计划'!$F$9+AA41*'资源计划'!$F$10+AB41*'资源计划'!$F$11</x:f>
        <x:v>1600</x:v>
      </x:c>
      <x:c r="AD41" s="29" t="str">
        <x:v>高</x:v>
      </x:c>
      <x:c r="AE41" s="29" t="str">
        <x:v>自下而上估算：按WBS活动分资源人时×仿真费率汇总；复杂度、复用条件和工作量假设逐轮复核。4工作日覆盖不少于72自然小时，自动监测；人时只计配置、观察和恢复演练</x:v>
      </x:c>
      <x:c r="AF41" s="29" t="str">
        <x:v>否</x:v>
      </x:c>
      <x:c r="AG41" s="33" t="n">
        <x:v>1</x:v>
      </x:c>
      <x:c r="AH41" s="33" t="n">
        <x:f>Y41/Q41</x:f>
        <x:v>1</x:v>
      </x:c>
      <x:c r="AI41" s="33" t="n">
        <x:f>Z41/Q41</x:f>
        <x:v>1</x:v>
      </x:c>
      <x:c r="AJ41" s="33" t="n">
        <x:f>AA41/Q41</x:f>
        <x:v>0</x:v>
      </x:c>
      <x:c r="AK41" s="33" t="n">
        <x:f>AB41/Q41</x:f>
        <x:v>2</x:v>
      </x:c>
      <x:c r="AL41" s="41" t="n">
        <x:v>30</x:v>
      </x:c>
      <x:c r="AM41" s="33" t="n">
        <x:v>4</x:v>
      </x:c>
      <x:c r="AN41" s="33" t="n">
        <x:v>4</x:v>
      </x:c>
      <x:c r="AO41" s="33" t="n">
        <x:v>0</x:v>
      </x:c>
      <x:c r="AP41" s="33" t="n">
        <x:v>8</x:v>
      </x:c>
    </x:row>
    <x:row r="42" ht="72" customHeight="1">
      <x:c r="A42" s="16" t="str">
        <x:v>T4.9</x:v>
      </x:c>
      <x:c r="B42" s="16" t="str">
        <x:v>验证兼容、部署与监控</x:v>
      </x:c>
      <x:c r="C42" s="16" t="str">
        <x:v>NFR-10, NFR-11, IF-04</x:v>
      </x:c>
      <x:c r="D42" s="16" t="str">
        <x:v>T4.2FS; T3.16FS; T3.19FS</x:v>
      </x:c>
      <x:c r="E42" s="17" t="n">
        <x:f>INT((T42-'项目总表'!$B$15)/7)+1</x:f>
        <x:v>6</x:v>
      </x:c>
      <x:c r="F42" s="17" t="n">
        <x:f>INT((U42-'项目总表'!$B$15)/7)+1</x:f>
        <x:v>6</x:v>
      </x:c>
      <x:c r="G42" s="17" t="str">
        <x:f>IF(COUNT($E42:$F42)&lt;2,"",IF(AND(G$6&gt;=$E42,G$6&lt;=$F42),"■",""))</x:f>
      </x:c>
      <x:c r="H42" s="17" t="str">
        <x:f>IF(COUNT($E42:$F42)&lt;2,"",IF(AND(H$6&gt;=$E42,H$6&lt;=$F42),"■",""))</x:f>
      </x:c>
      <x:c r="I42" s="17" t="str">
        <x:f>IF(COUNT($E42:$F42)&lt;2,"",IF(AND(I$6&gt;=$E42,I$6&lt;=$F42),"■",""))</x:f>
      </x:c>
      <x:c r="J42" s="17" t="str">
        <x:f>IF(COUNT($E42:$F42)&lt;2,"",IF(AND(J$6&gt;=$E42,J$6&lt;=$F42),"■",""))</x:f>
      </x:c>
      <x:c r="K42" s="17" t="str">
        <x:f>IF(COUNT($E42:$F42)&lt;2,"",IF(AND(K$6&gt;=$E42,K$6&lt;=$F42),"■",""))</x:f>
      </x:c>
      <x:c r="L42" s="17" t="str">
        <x:f>IF(COUNT($E42:$F42)&lt;2,"",IF(AND(L$6&gt;=$E42,L$6&lt;=$F42),"■",""))</x:f>
        <x:v>■</x:v>
      </x:c>
      <x:c r="M42" s="17" t="str">
        <x:f>IF(COUNT($E42:$F42)&lt;2,"",IF(AND(M$6&gt;=$E42,M$6&lt;=$F42),"■",""))</x:f>
      </x:c>
      <x:c r="N42" s="17" t="str">
        <x:f>IF(COUNT($E42:$F42)&lt;2,"",IF(AND(N$6&gt;=$E42,N$6&lt;=$F42),"■",""))</x:f>
      </x:c>
      <x:c r="O42" s="9" t="str">
        <x:v>测试</x:v>
      </x:c>
      <x:c r="P42" s="9" t="str">
        <x:v>浏览器、表格软件和部署证据</x:v>
      </x:c>
      <x:c r="Q42" s="19" t="n">
        <x:v>2</x:v>
      </x:c>
      <x:c r="R42" s="16" t="str">
        <x:v>R04</x:v>
      </x:c>
      <x:c r="S42" s="19" t="n">
        <x:f>SUM(Y42:AB42)</x:f>
        <x:v>16</x:v>
      </x:c>
      <x:c r="T42" s="12" t="n">
        <x:f>WORKDAY('项目总表'!$B$15-1,AL42)</x:f>
        <x:v>46351</x:v>
      </x:c>
      <x:c r="U42" s="12" t="n">
        <x:f>WORKDAY(T42-1,Q42)</x:f>
        <x:v>46352</x:v>
      </x:c>
      <x:c r="V42" s="9" t="str">
        <x:v>AC-14</x:v>
      </x:c>
      <x:c r="W42" s="9" t="str">
        <x:v>兼容、导出、部署和实际监控证据</x:v>
      </x:c>
      <x:c r="X42" s="9" t="str">
        <x:v>仿真计划，未执行</x:v>
      </x:c>
      <x:c r="Y42" s="34" t="n">
        <x:f>AM42</x:f>
        <x:v>0</x:v>
      </x:c>
      <x:c r="Z42" s="34" t="n">
        <x:f>AN42</x:f>
        <x:v>4</x:v>
      </x:c>
      <x:c r="AA42" s="34" t="n">
        <x:f>AO42</x:f>
        <x:v>8</x:v>
      </x:c>
      <x:c r="AB42" s="34" t="n">
        <x:f>AP42</x:f>
        <x:v>4</x:v>
      </x:c>
      <x:c r="AC42" s="34" t="n">
        <x:f>Y42*'资源计划'!$F$8+Z42*'资源计划'!$F$9+AA42*'资源计划'!$F$10+AB42*'资源计划'!$F$11</x:f>
        <x:v>1640</x:v>
      </x:c>
      <x:c r="AD42" s="29" t="str">
        <x:v>中</x:v>
      </x:c>
      <x:c r="AE42" s="29" t="str">
        <x:v>自下而上估算：按WBS活动分资源人时×仿真费率汇总；复杂度、复用条件和工作量假设逐轮复核。兼容、导出、部署和实际监控证据</x:v>
      </x:c>
      <x:c r="AF42" s="29" t="str">
        <x:v>否</x:v>
      </x:c>
      <x:c r="AG42" s="33" t="n">
        <x:v>5</x:v>
      </x:c>
      <x:c r="AH42" s="33" t="n">
        <x:f>Y42/Q42</x:f>
        <x:v>0</x:v>
      </x:c>
      <x:c r="AI42" s="33" t="n">
        <x:f>Z42/Q42</x:f>
        <x:v>2</x:v>
      </x:c>
      <x:c r="AJ42" s="33" t="n">
        <x:f>AA42/Q42</x:f>
        <x:v>4</x:v>
      </x:c>
      <x:c r="AK42" s="33" t="n">
        <x:f>AB42/Q42</x:f>
        <x:v>2</x:v>
      </x:c>
      <x:c r="AL42" s="41" t="n">
        <x:v>28</x:v>
      </x:c>
      <x:c r="AM42" s="33" t="n">
        <x:v>0</x:v>
      </x:c>
      <x:c r="AN42" s="33" t="n">
        <x:v>4</x:v>
      </x:c>
      <x:c r="AO42" s="33" t="n">
        <x:v>8</x:v>
      </x:c>
      <x:c r="AP42" s="33" t="n">
        <x:v>4</x:v>
      </x:c>
    </x:row>
    <x:row r="43" ht="72" customHeight="1">
      <x:c r="A43" s="16" t="str">
        <x:v>T4.10</x:v>
      </x:c>
      <x:c r="B43" s="16" t="str">
        <x:v>修复缺陷并复核需求覆盖</x:v>
      </x:c>
      <x:c r="C43" s="16" t="str">
        <x:v>FR-01～28, NFR-01～11, IF-01～04</x:v>
      </x:c>
      <x:c r="D43" s="16" t="str">
        <x:v>T4.3FS; T4.4FS; T4.6FS; T4.7FS; T4.8FS; T4.9FS; T4.5FS</x:v>
      </x:c>
      <x:c r="E43" s="17" t="n">
        <x:f>INT((T43-'项目总表'!$B$15)/7)+1</x:f>
        <x:v>7</x:v>
      </x:c>
      <x:c r="F43" s="17" t="n">
        <x:f>INT((U43-'项目总表'!$B$15)/7)+1</x:f>
        <x:v>8</x:v>
      </x:c>
      <x:c r="G43" s="17" t="str">
        <x:f>IF(COUNT($E43:$F43)&lt;2,"",IF(AND(G$6&gt;=$E43,G$6&lt;=$F43),"■",""))</x:f>
      </x:c>
      <x:c r="H43" s="17" t="str">
        <x:f>IF(COUNT($E43:$F43)&lt;2,"",IF(AND(H$6&gt;=$E43,H$6&lt;=$F43),"■",""))</x:f>
      </x:c>
      <x:c r="I43" s="17" t="str">
        <x:f>IF(COUNT($E43:$F43)&lt;2,"",IF(AND(I$6&gt;=$E43,I$6&lt;=$F43),"■",""))</x:f>
      </x:c>
      <x:c r="J43" s="17" t="str">
        <x:f>IF(COUNT($E43:$F43)&lt;2,"",IF(AND(J$6&gt;=$E43,J$6&lt;=$F43),"■",""))</x:f>
      </x:c>
      <x:c r="K43" s="17" t="str">
        <x:f>IF(COUNT($E43:$F43)&lt;2,"",IF(AND(K$6&gt;=$E43,K$6&lt;=$F43),"■",""))</x:f>
      </x:c>
      <x:c r="L43" s="17" t="str">
        <x:f>IF(COUNT($E43:$F43)&lt;2,"",IF(AND(L$6&gt;=$E43,L$6&lt;=$F43),"■",""))</x:f>
      </x:c>
      <x:c r="M43" s="17" t="str">
        <x:f>IF(COUNT($E43:$F43)&lt;2,"",IF(AND(M$6&gt;=$E43,M$6&lt;=$F43),"■",""))</x:f>
        <x:v>■</x:v>
      </x:c>
      <x:c r="N43" s="17" t="str">
        <x:f>IF(COUNT($E43:$F43)&lt;2,"",IF(AND(N$6&gt;=$E43,N$6&lt;=$F43),"■",""))</x:f>
        <x:v>■</x:v>
      </x:c>
      <x:c r="O43" s="9" t="str">
        <x:v>修复回归</x:v>
      </x:c>
      <x:c r="P43" s="9" t="str">
        <x:v>缺陷修复、回归与未执行项记录</x:v>
      </x:c>
      <x:c r="Q43" s="19" t="n">
        <x:v>3</x:v>
      </x:c>
      <x:c r="R43" s="16" t="str">
        <x:v>R02</x:v>
      </x:c>
      <x:c r="S43" s="19" t="n">
        <x:f>SUM(Y43:AB43)</x:f>
        <x:v>56</x:v>
      </x:c>
      <x:c r="T43" s="12" t="n">
        <x:f>WORKDAY('项目总表'!$B$15-1,AL43)</x:f>
        <x:v>46359</x:v>
      </x:c>
      <x:c r="U43" s="12" t="n">
        <x:f>WORKDAY(T43-1,Q43)</x:f>
        <x:v>46363</x:v>
      </x:c>
      <x:c r="V43" s="9" t="str">
        <x:v>AC-01～14</x:v>
      </x:c>
      <x:c r="W43" s="9" t="str">
        <x:v>按既有模块预留56人时修复与全量回归</x:v>
      </x:c>
      <x:c r="X43" s="9" t="str">
        <x:v>仿真计划，未执行</x:v>
      </x:c>
      <x:c r="Y43" s="34" t="n">
        <x:f>AM43</x:f>
        <x:v>10</x:v>
      </x:c>
      <x:c r="Z43" s="34" t="n">
        <x:f>AN43</x:f>
        <x:v>16</x:v>
      </x:c>
      <x:c r="AA43" s="34" t="n">
        <x:f>AO43</x:f>
        <x:v>16</x:v>
      </x:c>
      <x:c r="AB43" s="34" t="n">
        <x:f>AP43</x:f>
        <x:v>14</x:v>
      </x:c>
      <x:c r="AC43" s="34" t="n">
        <x:f>Y43*'资源计划'!$F$8+Z43*'资源计划'!$F$9+AA43*'资源计划'!$F$10+AB43*'资源计划'!$F$11</x:f>
        <x:v>5780</x:v>
      </x:c>
      <x:c r="AD43" s="29" t="str">
        <x:v>高</x:v>
      </x:c>
      <x:c r="AE43" s="29" t="str">
        <x:v>自下而上估算：按WBS活动分资源人时×仿真费率汇总；复杂度、复用条件和工作量假设逐轮复核。按既有模块预留56人时修复与全量回归</x:v>
      </x:c>
      <x:c r="AF43" s="29" t="str">
        <x:v>否</x:v>
      </x:c>
      <x:c r="AG43" s="33" t="n">
        <x:v>1</x:v>
      </x:c>
      <x:c r="AH43" s="33" t="n">
        <x:f>Y43/Q43</x:f>
        <x:v>3.3333333333333335</x:v>
      </x:c>
      <x:c r="AI43" s="33" t="n">
        <x:f>Z43/Q43</x:f>
        <x:v>5.333333333333333</x:v>
      </x:c>
      <x:c r="AJ43" s="33" t="n">
        <x:f>AA43/Q43</x:f>
        <x:v>5.333333333333333</x:v>
      </x:c>
      <x:c r="AK43" s="33" t="n">
        <x:f>AB43/Q43</x:f>
        <x:v>4.666666666666667</x:v>
      </x:c>
      <x:c r="AL43" s="41" t="n">
        <x:v>34</x:v>
      </x:c>
      <x:c r="AM43" s="33" t="n">
        <x:v>10</x:v>
      </x:c>
      <x:c r="AN43" s="33" t="n">
        <x:v>16</x:v>
      </x:c>
      <x:c r="AO43" s="33" t="n">
        <x:v>16</x:v>
      </x:c>
      <x:c r="AP43" s="33" t="n">
        <x:v>14</x:v>
      </x:c>
    </x:row>
    <x:row r="44" ht="72" customHeight="1">
      <x:c r="A44" s="16" t="str">
        <x:v>T5.1</x:v>
      </x:c>
      <x:c r="B44" s="16" t="str">
        <x:v>部署拟定试运行环境</x:v>
      </x:c>
      <x:c r="C44" s="16" t="str">
        <x:v>NFR-11</x:v>
      </x:c>
      <x:c r="D44" s="16" t="str">
        <x:v>T4.2SS; T3.19FS</x:v>
      </x:c>
      <x:c r="E44" s="17" t="n">
        <x:f>INT((T44-'项目总表'!$B$15)/7)+1</x:f>
        <x:v>6</x:v>
      </x:c>
      <x:c r="F44" s="17" t="n">
        <x:f>INT((U44-'项目总表'!$B$15)/7)+1</x:f>
        <x:v>6</x:v>
      </x:c>
      <x:c r="G44" s="17" t="str">
        <x:f>IF(COUNT($E44:$F44)&lt;2,"",IF(AND(G$6&gt;=$E44,G$6&lt;=$F44),"■",""))</x:f>
      </x:c>
      <x:c r="H44" s="17" t="str">
        <x:f>IF(COUNT($E44:$F44)&lt;2,"",IF(AND(H$6&gt;=$E44,H$6&lt;=$F44),"■",""))</x:f>
      </x:c>
      <x:c r="I44" s="17" t="str">
        <x:f>IF(COUNT($E44:$F44)&lt;2,"",IF(AND(I$6&gt;=$E44,I$6&lt;=$F44),"■",""))</x:f>
      </x:c>
      <x:c r="J44" s="17" t="str">
        <x:f>IF(COUNT($E44:$F44)&lt;2,"",IF(AND(J$6&gt;=$E44,J$6&lt;=$F44),"■",""))</x:f>
      </x:c>
      <x:c r="K44" s="17" t="str">
        <x:f>IF(COUNT($E44:$F44)&lt;2,"",IF(AND(K$6&gt;=$E44,K$6&lt;=$F44),"■",""))</x:f>
      </x:c>
      <x:c r="L44" s="17" t="str">
        <x:f>IF(COUNT($E44:$F44)&lt;2,"",IF(AND(L$6&gt;=$E44,L$6&lt;=$F44),"■",""))</x:f>
        <x:v>■</x:v>
      </x:c>
      <x:c r="M44" s="17" t="str">
        <x:f>IF(COUNT($E44:$F44)&lt;2,"",IF(AND(M$6&gt;=$E44,M$6&lt;=$F44),"■",""))</x:f>
      </x:c>
      <x:c r="N44" s="17" t="str">
        <x:f>IF(COUNT($E44:$F44)&lt;2,"",IF(AND(N$6&gt;=$E44,N$6&lt;=$F44),"■",""))</x:f>
      </x:c>
      <x:c r="O44" s="9" t="str">
        <x:v>部署</x:v>
      </x:c>
      <x:c r="P44" s="9" t="str">
        <x:v>部署配置、迁移与回滚记录</x:v>
      </x:c>
      <x:c r="Q44" s="19" t="n">
        <x:v>2</x:v>
      </x:c>
      <x:c r="R44" s="16" t="str">
        <x:v>R01</x:v>
      </x:c>
      <x:c r="S44" s="19" t="n">
        <x:f>SUM(Y44:AB44)</x:f>
        <x:v>16</x:v>
      </x:c>
      <x:c r="T44" s="12" t="n">
        <x:f>WORKDAY('项目总表'!$B$15-1,AL44)</x:f>
        <x:v>46349</x:v>
      </x:c>
      <x:c r="U44" s="12" t="n">
        <x:f>WORKDAY(T44-1,Q44)</x:f>
        <x:v>46350</x:v>
      </x:c>
      <x:c r="V44" s="9" t="str">
        <x:v>AC-14</x:v>
      </x:c>
      <x:c r="W44" s="9" t="str">
        <x:v>仿真独立试运行环境与部署窗口；按模块专长重新分工，测试部署成员兼工具及自动化开发；已确认SRS接口后先交付内部接口骨架，模块重叠编码；集成和验收等待全部相关模块完成</x:v>
      </x:c>
      <x:c r="X44" s="9" t="str">
        <x:v>仿真计划，未执行</x:v>
      </x:c>
      <x:c r="Y44" s="34" t="n">
        <x:f>AM44</x:f>
        <x:v>6</x:v>
      </x:c>
      <x:c r="Z44" s="34" t="n">
        <x:f>AN44</x:f>
        <x:v>4</x:v>
      </x:c>
      <x:c r="AA44" s="34" t="n">
        <x:f>AO44</x:f>
        <x:v>0</x:v>
      </x:c>
      <x:c r="AB44" s="34" t="n">
        <x:f>AP44</x:f>
        <x:v>6</x:v>
      </x:c>
      <x:c r="AC44" s="34" t="n">
        <x:f>Y44*'资源计划'!$F$8+Z44*'资源计划'!$F$9+AA44*'资源计划'!$F$10+AB44*'资源计划'!$F$11</x:f>
        <x:v>1620</x:v>
      </x:c>
      <x:c r="AD44" s="29" t="str">
        <x:v>中</x:v>
      </x:c>
      <x:c r="AE44" s="29" t="str">
        <x:v>自下而上估算：按WBS活动分资源人时×仿真费率汇总；复杂度、复用条件和工作量假设逐轮复核。仿真独立试运行环境与部署窗口；按模块专长重新分工，测试部署成员兼工具及自动化开发；已确认SRS接口后先交付内部接口骨架，模块重叠编码；集成和验收等待全部相关模块完成</x:v>
      </x:c>
      <x:c r="AF44" s="29" t="str">
        <x:v>否</x:v>
      </x:c>
      <x:c r="AG44" s="33" t="n">
        <x:v>10</x:v>
      </x:c>
      <x:c r="AH44" s="33" t="n">
        <x:f>Y44/Q44</x:f>
        <x:v>3</x:v>
      </x:c>
      <x:c r="AI44" s="33" t="n">
        <x:f>Z44/Q44</x:f>
        <x:v>2</x:v>
      </x:c>
      <x:c r="AJ44" s="33" t="n">
        <x:f>AA44/Q44</x:f>
        <x:v>0</x:v>
      </x:c>
      <x:c r="AK44" s="33" t="n">
        <x:f>AB44/Q44</x:f>
        <x:v>3</x:v>
      </x:c>
      <x:c r="AL44" s="41" t="n">
        <x:v>26</x:v>
      </x:c>
      <x:c r="AM44" s="33" t="n">
        <x:v>6</x:v>
      </x:c>
      <x:c r="AN44" s="33" t="n">
        <x:v>4</x:v>
      </x:c>
      <x:c r="AO44" s="33" t="n">
        <x:v>0</x:v>
      </x:c>
      <x:c r="AP44" s="33" t="n">
        <x:v>6</x:v>
      </x:c>
    </x:row>
    <x:row r="45" ht="72" customHeight="1">
      <x:c r="A45" s="16" t="str">
        <x:v>T5.2</x:v>
      </x:c>
      <x:c r="B45" s="16" t="str">
        <x:v>安排业务试运行与反馈</x:v>
      </x:c>
      <x:c r="C45" s="16" t="str">
        <x:v>FR-01～28</x:v>
      </x:c>
      <x:c r="D45" s="16" t="str">
        <x:v>T4.10FS; T5.1FS</x:v>
      </x:c>
      <x:c r="E45" s="17" t="n">
        <x:f>INT((T45-'项目总表'!$B$15)/7)+1</x:f>
        <x:v>8</x:v>
      </x:c>
      <x:c r="F45" s="17" t="n">
        <x:f>INT((U45-'项目总表'!$B$15)/7)+1</x:f>
        <x:v>8</x:v>
      </x:c>
      <x:c r="G45" s="17" t="str">
        <x:f>IF(COUNT($E45:$F45)&lt;2,"",IF(AND(G$6&gt;=$E45,G$6&lt;=$F45),"■",""))</x:f>
      </x:c>
      <x:c r="H45" s="17" t="str">
        <x:f>IF(COUNT($E45:$F45)&lt;2,"",IF(AND(H$6&gt;=$E45,H$6&lt;=$F45),"■",""))</x:f>
      </x:c>
      <x:c r="I45" s="17" t="str">
        <x:f>IF(COUNT($E45:$F45)&lt;2,"",IF(AND(I$6&gt;=$E45,I$6&lt;=$F45),"■",""))</x:f>
      </x:c>
      <x:c r="J45" s="17" t="str">
        <x:f>IF(COUNT($E45:$F45)&lt;2,"",IF(AND(J$6&gt;=$E45,J$6&lt;=$F45),"■",""))</x:f>
      </x:c>
      <x:c r="K45" s="17" t="str">
        <x:f>IF(COUNT($E45:$F45)&lt;2,"",IF(AND(K$6&gt;=$E45,K$6&lt;=$F45),"■",""))</x:f>
      </x:c>
      <x:c r="L45" s="17" t="str">
        <x:f>IF(COUNT($E45:$F45)&lt;2,"",IF(AND(L$6&gt;=$E45,L$6&lt;=$F45),"■",""))</x:f>
      </x:c>
      <x:c r="M45" s="17" t="str">
        <x:f>IF(COUNT($E45:$F45)&lt;2,"",IF(AND(M$6&gt;=$E45,M$6&lt;=$F45),"■",""))</x:f>
      </x:c>
      <x:c r="N45" s="17" t="str">
        <x:f>IF(COUNT($E45:$F45)&lt;2,"",IF(AND(N$6&gt;=$E45,N$6&lt;=$F45),"■",""))</x:f>
        <x:v>■</x:v>
      </x:c>
      <x:c r="O45" s="9" t="str">
        <x:v>试运行</x:v>
      </x:c>
      <x:c r="P45" s="9" t="str">
        <x:v>试运行记录与反馈处理</x:v>
      </x:c>
      <x:c r="Q45" s="19" t="n">
        <x:v>2</x:v>
      </x:c>
      <x:c r="R45" s="16" t="str">
        <x:v>R01</x:v>
      </x:c>
      <x:c r="S45" s="19" t="n">
        <x:f>SUM(Y45:AB45)</x:f>
        <x:v>18</x:v>
      </x:c>
      <x:c r="T45" s="12" t="n">
        <x:f>WORKDAY('项目总表'!$B$15-1,AL45)</x:f>
        <x:v>46364</x:v>
      </x:c>
      <x:c r="U45" s="12" t="n">
        <x:f>WORKDAY(T45-1,Q45)</x:f>
        <x:v>46365</x:v>
      </x:c>
      <x:c r="V45" s="9" t="str">
        <x:v>试运行评审</x:v>
      </x:c>
      <x:c r="W45" s="9" t="str">
        <x:v>用合成数据模拟业务试运行和反馈</x:v>
      </x:c>
      <x:c r="X45" s="9" t="str">
        <x:v>仿真计划，未执行</x:v>
      </x:c>
      <x:c r="Y45" s="34" t="n">
        <x:f>AM45</x:f>
        <x:v>6</x:v>
      </x:c>
      <x:c r="Z45" s="34" t="n">
        <x:f>AN45</x:f>
        <x:v>2</x:v>
      </x:c>
      <x:c r="AA45" s="34" t="n">
        <x:f>AO45</x:f>
        <x:v>4</x:v>
      </x:c>
      <x:c r="AB45" s="34" t="n">
        <x:f>AP45</x:f>
        <x:v>6</x:v>
      </x:c>
      <x:c r="AC45" s="34" t="n">
        <x:f>Y45*'资源计划'!$F$8+Z45*'资源计划'!$F$9+AA45*'资源计划'!$F$10+AB45*'资源计划'!$F$11</x:f>
        <x:v>1780</x:v>
      </x:c>
      <x:c r="AD45" s="29" t="str">
        <x:v>中</x:v>
      </x:c>
      <x:c r="AE45" s="29" t="str">
        <x:v>自下而上估算：按WBS活动分资源人时×仿真费率汇总；复杂度、复用条件和工作量假设逐轮复核。用合成数据模拟业务试运行和反馈</x:v>
      </x:c>
      <x:c r="AF45" s="29" t="str">
        <x:v>否</x:v>
      </x:c>
      <x:c r="AG45" s="33" t="n">
        <x:v>1</x:v>
      </x:c>
      <x:c r="AH45" s="33" t="n">
        <x:f>Y45/Q45</x:f>
        <x:v>3</x:v>
      </x:c>
      <x:c r="AI45" s="33" t="n">
        <x:f>Z45/Q45</x:f>
        <x:v>1</x:v>
      </x:c>
      <x:c r="AJ45" s="33" t="n">
        <x:f>AA45/Q45</x:f>
        <x:v>2</x:v>
      </x:c>
      <x:c r="AK45" s="33" t="n">
        <x:f>AB45/Q45</x:f>
        <x:v>3</x:v>
      </x:c>
      <x:c r="AL45" s="41" t="n">
        <x:v>37</x:v>
      </x:c>
      <x:c r="AM45" s="33" t="n">
        <x:v>6</x:v>
      </x:c>
      <x:c r="AN45" s="33" t="n">
        <x:v>2</x:v>
      </x:c>
      <x:c r="AO45" s="33" t="n">
        <x:v>4</x:v>
      </x:c>
      <x:c r="AP45" s="33" t="n">
        <x:v>6</x:v>
      </x:c>
    </x:row>
    <x:row r="46" ht="72" customHeight="1">
      <x:c r="A46" s="16" t="str">
        <x:v>T5.3</x:v>
      </x:c>
      <x:c r="B46" s="16" t="str">
        <x:v>编写操作与开发维护说明</x:v>
      </x:c>
      <x:c r="C46" s="16" t="str">
        <x:v>NFR-11</x:v>
      </x:c>
      <x:c r="D46" s="16" t="str">
        <x:v>T4.1FS; T1.3FS</x:v>
      </x:c>
      <x:c r="E46" s="17" t="n">
        <x:f>INT((T46-'项目总表'!$B$15)/7)+1</x:f>
        <x:v>7</x:v>
      </x:c>
      <x:c r="F46" s="17" t="n">
        <x:f>INT((U46-'项目总表'!$B$15)/7)+1</x:f>
        <x:v>7</x:v>
      </x:c>
      <x:c r="G46" s="17" t="str">
        <x:f>IF(COUNT($E46:$F46)&lt;2,"",IF(AND(G$6&gt;=$E46,G$6&lt;=$F46),"■",""))</x:f>
      </x:c>
      <x:c r="H46" s="17" t="str">
        <x:f>IF(COUNT($E46:$F46)&lt;2,"",IF(AND(H$6&gt;=$E46,H$6&lt;=$F46),"■",""))</x:f>
      </x:c>
      <x:c r="I46" s="17" t="str">
        <x:f>IF(COUNT($E46:$F46)&lt;2,"",IF(AND(I$6&gt;=$E46,I$6&lt;=$F46),"■",""))</x:f>
      </x:c>
      <x:c r="J46" s="17" t="str">
        <x:f>IF(COUNT($E46:$F46)&lt;2,"",IF(AND(J$6&gt;=$E46,J$6&lt;=$F46),"■",""))</x:f>
      </x:c>
      <x:c r="K46" s="17" t="str">
        <x:f>IF(COUNT($E46:$F46)&lt;2,"",IF(AND(K$6&gt;=$E46,K$6&lt;=$F46),"■",""))</x:f>
      </x:c>
      <x:c r="L46" s="17" t="str">
        <x:f>IF(COUNT($E46:$F46)&lt;2,"",IF(AND(L$6&gt;=$E46,L$6&lt;=$F46),"■",""))</x:f>
      </x:c>
      <x:c r="M46" s="17" t="str">
        <x:f>IF(COUNT($E46:$F46)&lt;2,"",IF(AND(M$6&gt;=$E46,M$6&lt;=$F46),"■",""))</x:f>
        <x:v>■</x:v>
      </x:c>
      <x:c r="N46" s="17" t="str">
        <x:f>IF(COUNT($E46:$F46)&lt;2,"",IF(AND(N$6&gt;=$E46,N$6&lt;=$F46),"■",""))</x:f>
      </x:c>
      <x:c r="O46" s="9" t="str">
        <x:v>交付准备</x:v>
      </x:c>
      <x:c r="P46" s="9" t="str">
        <x:v>企业、市、省和技术管理操作说明</x:v>
      </x:c>
      <x:c r="Q46" s="19" t="n">
        <x:v>4</x:v>
      </x:c>
      <x:c r="R46" s="16" t="str">
        <x:v>R01</x:v>
      </x:c>
      <x:c r="S46" s="19" t="n">
        <x:f>SUM(Y46:AB46)</x:f>
        <x:v>32</x:v>
      </x:c>
      <x:c r="T46" s="12" t="n">
        <x:f>WORKDAY('项目总表'!$B$15-1,AL46)</x:f>
        <x:v>46356</x:v>
      </x:c>
      <x:c r="U46" s="12" t="n">
        <x:f>WORKDAY(T46-1,Q46)</x:f>
        <x:v>46359</x:v>
      </x:c>
      <x:c r="V46" s="9" t="str">
        <x:v>文档评审</x:v>
      </x:c>
      <x:c r="W46" s="9" t="str">
        <x:v>四角色操作手册及维护说明</x:v>
      </x:c>
      <x:c r="X46" s="9" t="str">
        <x:v>仿真计划，未执行</x:v>
      </x:c>
      <x:c r="Y46" s="34" t="n">
        <x:f>AM46</x:f>
        <x:v>12</x:v>
      </x:c>
      <x:c r="Z46" s="34" t="n">
        <x:f>AN46</x:f>
        <x:v>4</x:v>
      </x:c>
      <x:c r="AA46" s="34" t="n">
        <x:f>AO46</x:f>
        <x:v>8</x:v>
      </x:c>
      <x:c r="AB46" s="34" t="n">
        <x:f>AP46</x:f>
        <x:v>8</x:v>
      </x:c>
      <x:c r="AC46" s="34" t="n">
        <x:f>Y46*'资源计划'!$F$8+Z46*'资源计划'!$F$9+AA46*'资源计划'!$F$10+AB46*'资源计划'!$F$11</x:f>
        <x:v>3200</x:v>
      </x:c>
      <x:c r="AD46" s="29" t="str">
        <x:v>中</x:v>
      </x:c>
      <x:c r="AE46" s="29" t="str">
        <x:v>自下而上估算：按WBS活动分资源人时×仿真费率汇总；复杂度、复用条件和工作量假设逐轮复核。四角色操作手册及维护说明</x:v>
      </x:c>
      <x:c r="AF46" s="29" t="str">
        <x:v>否</x:v>
      </x:c>
      <x:c r="AG46" s="33" t="n">
        <x:v>3</x:v>
      </x:c>
      <x:c r="AH46" s="33" t="n">
        <x:f>Y46/Q46</x:f>
        <x:v>3</x:v>
      </x:c>
      <x:c r="AI46" s="33" t="n">
        <x:f>Z46/Q46</x:f>
        <x:v>1</x:v>
      </x:c>
      <x:c r="AJ46" s="33" t="n">
        <x:f>AA46/Q46</x:f>
        <x:v>2</x:v>
      </x:c>
      <x:c r="AK46" s="33" t="n">
        <x:f>AB46/Q46</x:f>
        <x:v>2</x:v>
      </x:c>
      <x:c r="AL46" s="41" t="n">
        <x:v>31</x:v>
      </x:c>
      <x:c r="AM46" s="33" t="n">
        <x:v>12</x:v>
      </x:c>
      <x:c r="AN46" s="33" t="n">
        <x:v>4</x:v>
      </x:c>
      <x:c r="AO46" s="33" t="n">
        <x:v>8</x:v>
      </x:c>
      <x:c r="AP46" s="33" t="n">
        <x:v>8</x:v>
      </x:c>
    </x:row>
    <x:row r="47" ht="72" customHeight="1">
      <x:c r="A47" s="16" t="str">
        <x:v>T5.4</x:v>
      </x:c>
      <x:c r="B47" s="16" t="str">
        <x:v>安排操作培训与演示</x:v>
      </x:c>
      <x:c r="C47" s="16" t="str">
        <x:v>项目交付</x:v>
      </x:c>
      <x:c r="D47" s="16" t="str">
        <x:v>T4.10FS; T5.3FS</x:v>
      </x:c>
      <x:c r="E47" s="17" t="n">
        <x:f>INT((T47-'项目总表'!$B$15)/7)+1</x:f>
        <x:v>8</x:v>
      </x:c>
      <x:c r="F47" s="17" t="n">
        <x:f>INT((U47-'项目总表'!$B$15)/7)+1</x:f>
        <x:v>8</x:v>
      </x:c>
      <x:c r="G47" s="17" t="str">
        <x:f>IF(COUNT($E47:$F47)&lt;2,"",IF(AND(G$6&gt;=$E47,G$6&lt;=$F47),"■",""))</x:f>
      </x:c>
      <x:c r="H47" s="17" t="str">
        <x:f>IF(COUNT($E47:$F47)&lt;2,"",IF(AND(H$6&gt;=$E47,H$6&lt;=$F47),"■",""))</x:f>
      </x:c>
      <x:c r="I47" s="17" t="str">
        <x:f>IF(COUNT($E47:$F47)&lt;2,"",IF(AND(I$6&gt;=$E47,I$6&lt;=$F47),"■",""))</x:f>
      </x:c>
      <x:c r="J47" s="17" t="str">
        <x:f>IF(COUNT($E47:$F47)&lt;2,"",IF(AND(J$6&gt;=$E47,J$6&lt;=$F47),"■",""))</x:f>
      </x:c>
      <x:c r="K47" s="17" t="str">
        <x:f>IF(COUNT($E47:$F47)&lt;2,"",IF(AND(K$6&gt;=$E47,K$6&lt;=$F47),"■",""))</x:f>
      </x:c>
      <x:c r="L47" s="17" t="str">
        <x:f>IF(COUNT($E47:$F47)&lt;2,"",IF(AND(L$6&gt;=$E47,L$6&lt;=$F47),"■",""))</x:f>
      </x:c>
      <x:c r="M47" s="17" t="str">
        <x:f>IF(COUNT($E47:$F47)&lt;2,"",IF(AND(M$6&gt;=$E47,M$6&lt;=$F47),"■",""))</x:f>
      </x:c>
      <x:c r="N47" s="17" t="str">
        <x:f>IF(COUNT($E47:$F47)&lt;2,"",IF(AND(N$6&gt;=$E47,N$6&lt;=$F47),"■",""))</x:f>
        <x:v>■</x:v>
      </x:c>
      <x:c r="O47" s="9" t="str">
        <x:v>培训</x:v>
      </x:c>
      <x:c r="P47" s="9" t="str">
        <x:v>培训资料、演示与反馈</x:v>
      </x:c>
      <x:c r="Q47" s="19" t="n">
        <x:v>1</x:v>
      </x:c>
      <x:c r="R47" s="16" t="str">
        <x:v>R01</x:v>
      </x:c>
      <x:c r="S47" s="19" t="n">
        <x:f>SUM(Y47:AB47)</x:f>
        <x:v>8</x:v>
      </x:c>
      <x:c r="T47" s="12" t="n">
        <x:f>WORKDAY('项目总表'!$B$15-1,AL47)</x:f>
        <x:v>46366</x:v>
      </x:c>
      <x:c r="U47" s="12" t="n">
        <x:f>WORKDAY(T47-1,Q47)</x:f>
        <x:v>46366</x:v>
      </x:c>
      <x:c r="V47" s="9" t="str">
        <x:v>培训反馈</x:v>
      </x:c>
      <x:c r="W47" s="9" t="str">
        <x:v>一次远程培训演示，无实际参加记录</x:v>
      </x:c>
      <x:c r="X47" s="9" t="str">
        <x:v>仿真计划，未执行</x:v>
      </x:c>
      <x:c r="Y47" s="34" t="n">
        <x:f>AM47</x:f>
        <x:v>4</x:v>
      </x:c>
      <x:c r="Z47" s="34" t="n">
        <x:f>AN47</x:f>
        <x:v>0</x:v>
      </x:c>
      <x:c r="AA47" s="34" t="n">
        <x:f>AO47</x:f>
        <x:v>2</x:v>
      </x:c>
      <x:c r="AB47" s="34" t="n">
        <x:f>AP47</x:f>
        <x:v>2</x:v>
      </x:c>
      <x:c r="AC47" s="34" t="n">
        <x:f>Y47*'资源计划'!$F$8+Z47*'资源计划'!$F$9+AA47*'资源计划'!$F$10+AB47*'资源计划'!$F$11</x:f>
        <x:v>780</x:v>
      </x:c>
      <x:c r="AD47" s="29" t="str">
        <x:v>低</x:v>
      </x:c>
      <x:c r="AE47" s="29" t="str">
        <x:v>自下而上估算：按WBS活动分资源人时×仿真费率汇总；复杂度、复用条件和工作量假设逐轮复核。一次远程培训演示，无实际参加记录</x:v>
      </x:c>
      <x:c r="AF47" s="29" t="str">
        <x:v>是</x:v>
      </x:c>
      <x:c r="AG47" s="33" t="n">
        <x:v>0</x:v>
      </x:c>
      <x:c r="AH47" s="33" t="n">
        <x:f>Y47/Q47</x:f>
        <x:v>4</x:v>
      </x:c>
      <x:c r="AI47" s="33" t="n">
        <x:f>Z47/Q47</x:f>
        <x:v>0</x:v>
      </x:c>
      <x:c r="AJ47" s="33" t="n">
        <x:f>AA47/Q47</x:f>
        <x:v>2</x:v>
      </x:c>
      <x:c r="AK47" s="33" t="n">
        <x:f>AB47/Q47</x:f>
        <x:v>2</x:v>
      </x:c>
      <x:c r="AL47" s="41" t="n">
        <x:v>39</x:v>
      </x:c>
      <x:c r="AM47" s="33" t="n">
        <x:v>4</x:v>
      </x:c>
      <x:c r="AN47" s="33" t="n">
        <x:v>0</x:v>
      </x:c>
      <x:c r="AO47" s="33" t="n">
        <x:v>2</x:v>
      </x:c>
      <x:c r="AP47" s="33" t="n">
        <x:v>2</x:v>
      </x:c>
    </x:row>
    <x:row r="48" ht="72" customHeight="1">
      <x:c r="A48" s="16" t="str">
        <x:v>T5.5</x:v>
      </x:c>
      <x:c r="B48" s="16" t="str">
        <x:v>整理代码、配置和验证证据</x:v>
      </x:c>
      <x:c r="C48" s="16" t="str">
        <x:v>NFR-11, IF-01～04</x:v>
      </x:c>
      <x:c r="D48" s="16" t="str">
        <x:v>T4.10FS; T5.3FS</x:v>
      </x:c>
      <x:c r="E48" s="17" t="n">
        <x:f>INT((T48-'项目总表'!$B$15)/7)+1</x:f>
        <x:v>8</x:v>
      </x:c>
      <x:c r="F48" s="17" t="n">
        <x:f>INT((U48-'项目总表'!$B$15)/7)+1</x:f>
        <x:v>8</x:v>
      </x:c>
      <x:c r="G48" s="17" t="str">
        <x:f>IF(COUNT($E48:$F48)&lt;2,"",IF(AND(G$6&gt;=$E48,G$6&lt;=$F48),"■",""))</x:f>
      </x:c>
      <x:c r="H48" s="17" t="str">
        <x:f>IF(COUNT($E48:$F48)&lt;2,"",IF(AND(H$6&gt;=$E48,H$6&lt;=$F48),"■",""))</x:f>
      </x:c>
      <x:c r="I48" s="17" t="str">
        <x:f>IF(COUNT($E48:$F48)&lt;2,"",IF(AND(I$6&gt;=$E48,I$6&lt;=$F48),"■",""))</x:f>
      </x:c>
      <x:c r="J48" s="17" t="str">
        <x:f>IF(COUNT($E48:$F48)&lt;2,"",IF(AND(J$6&gt;=$E48,J$6&lt;=$F48),"■",""))</x:f>
      </x:c>
      <x:c r="K48" s="17" t="str">
        <x:f>IF(COUNT($E48:$F48)&lt;2,"",IF(AND(K$6&gt;=$E48,K$6&lt;=$F48),"■",""))</x:f>
      </x:c>
      <x:c r="L48" s="17" t="str">
        <x:f>IF(COUNT($E48:$F48)&lt;2,"",IF(AND(L$6&gt;=$E48,L$6&lt;=$F48),"■",""))</x:f>
      </x:c>
      <x:c r="M48" s="17" t="str">
        <x:f>IF(COUNT($E48:$F48)&lt;2,"",IF(AND(M$6&gt;=$E48,M$6&lt;=$F48),"■",""))</x:f>
      </x:c>
      <x:c r="N48" s="17" t="str">
        <x:f>IF(COUNT($E48:$F48)&lt;2,"",IF(AND(N$6&gt;=$E48,N$6&lt;=$F48),"■",""))</x:f>
        <x:v>■</x:v>
      </x:c>
      <x:c r="O48" s="9" t="str">
        <x:v>移交</x:v>
      </x:c>
      <x:c r="P48" s="9" t="str">
        <x:v>构建代码、运行脚本与证据包</x:v>
      </x:c>
      <x:c r="Q48" s="19" t="n">
        <x:v>2</x:v>
      </x:c>
      <x:c r="R48" s="16" t="str">
        <x:v>R04</x:v>
      </x:c>
      <x:c r="S48" s="19" t="n">
        <x:f>SUM(Y48:AB48)</x:f>
        <x:v>18</x:v>
      </x:c>
      <x:c r="T48" s="12" t="n">
        <x:f>WORKDAY('项目总表'!$B$15-1,AL48)</x:f>
        <x:v>46364</x:v>
      </x:c>
      <x:c r="U48" s="12" t="n">
        <x:f>WORKDAY(T48-1,Q48)</x:f>
        <x:v>46365</x:v>
      </x:c>
      <x:c r="V48" s="9" t="str">
        <x:v>SRS 9.5</x:v>
      </x:c>
      <x:c r="W48" s="9" t="str">
        <x:v>代码、配置、构建和证据包移交准备</x:v>
      </x:c>
      <x:c r="X48" s="9" t="str">
        <x:v>仿真计划，未执行</x:v>
      </x:c>
      <x:c r="Y48" s="34" t="n">
        <x:f>AM48</x:f>
        <x:v>4</x:v>
      </x:c>
      <x:c r="Z48" s="34" t="n">
        <x:f>AN48</x:f>
        <x:v>4</x:v>
      </x:c>
      <x:c r="AA48" s="34" t="n">
        <x:f>AO48</x:f>
        <x:v>2</x:v>
      </x:c>
      <x:c r="AB48" s="34" t="n">
        <x:f>AP48</x:f>
        <x:v>8</x:v>
      </x:c>
      <x:c r="AC48" s="34" t="n">
        <x:f>Y48*'资源计划'!$F$8+Z48*'资源计划'!$F$9+AA48*'资源计划'!$F$10+AB48*'资源计划'!$F$11</x:f>
        <x:v>1800</x:v>
      </x:c>
      <x:c r="AD48" s="29" t="str">
        <x:v>中</x:v>
      </x:c>
      <x:c r="AE48" s="29" t="str">
        <x:v>自下而上估算：按WBS活动分资源人时×仿真费率汇总；复杂度、复用条件和工作量假设逐轮复核。代码、配置、构建和证据包移交准备</x:v>
      </x:c>
      <x:c r="AF48" s="29" t="str">
        <x:v>否</x:v>
      </x:c>
      <x:c r="AG48" s="33" t="n">
        <x:v>1</x:v>
      </x:c>
      <x:c r="AH48" s="33" t="n">
        <x:f>Y48/Q48</x:f>
        <x:v>2</x:v>
      </x:c>
      <x:c r="AI48" s="33" t="n">
        <x:f>Z48/Q48</x:f>
        <x:v>2</x:v>
      </x:c>
      <x:c r="AJ48" s="33" t="n">
        <x:f>AA48/Q48</x:f>
        <x:v>1</x:v>
      </x:c>
      <x:c r="AK48" s="33" t="n">
        <x:f>AB48/Q48</x:f>
        <x:v>4</x:v>
      </x:c>
      <x:c r="AL48" s="41" t="n">
        <x:v>37</x:v>
      </x:c>
      <x:c r="AM48" s="33" t="n">
        <x:v>4</x:v>
      </x:c>
      <x:c r="AN48" s="33" t="n">
        <x:v>4</x:v>
      </x:c>
      <x:c r="AO48" s="33" t="n">
        <x:v>2</x:v>
      </x:c>
      <x:c r="AP48" s="33" t="n">
        <x:v>8</x:v>
      </x:c>
    </x:row>
    <x:row r="49" ht="72" customHeight="1">
      <x:c r="A49" s="16" t="str">
        <x:v>T5.6</x:v>
      </x:c>
      <x:c r="B49" s="16" t="str">
        <x:v>完成最终项目验收</x:v>
      </x:c>
      <x:c r="C49" s="16" t="str">
        <x:v>FR-01～28, NFR-01～11, IF-01～04</x:v>
      </x:c>
      <x:c r="D49" s="16" t="str">
        <x:v>T5.2FS; T5.4FS; T5.5FS; T4.5FS</x:v>
      </x:c>
      <x:c r="E49" s="17" t="n">
        <x:f>INT((T49-'项目总表'!$B$15)/7)+1</x:f>
        <x:v>8</x:v>
      </x:c>
      <x:c r="F49" s="17" t="n">
        <x:f>INT((U49-'项目总表'!$B$15)/7)+1</x:f>
        <x:v>8</x:v>
      </x:c>
      <x:c r="G49" s="17" t="str">
        <x:f>IF(COUNT($E49:$F49)&lt;2,"",IF(AND(G$6&gt;=$E49,G$6&lt;=$F49),"■",""))</x:f>
      </x:c>
      <x:c r="H49" s="17" t="str">
        <x:f>IF(COUNT($E49:$F49)&lt;2,"",IF(AND(H$6&gt;=$E49,H$6&lt;=$F49),"■",""))</x:f>
      </x:c>
      <x:c r="I49" s="17" t="str">
        <x:f>IF(COUNT($E49:$F49)&lt;2,"",IF(AND(I$6&gt;=$E49,I$6&lt;=$F49),"■",""))</x:f>
      </x:c>
      <x:c r="J49" s="17" t="str">
        <x:f>IF(COUNT($E49:$F49)&lt;2,"",IF(AND(J$6&gt;=$E49,J$6&lt;=$F49),"■",""))</x:f>
      </x:c>
      <x:c r="K49" s="17" t="str">
        <x:f>IF(COUNT($E49:$F49)&lt;2,"",IF(AND(K$6&gt;=$E49,K$6&lt;=$F49),"■",""))</x:f>
      </x:c>
      <x:c r="L49" s="17" t="str">
        <x:f>IF(COUNT($E49:$F49)&lt;2,"",IF(AND(L$6&gt;=$E49,L$6&lt;=$F49),"■",""))</x:f>
      </x:c>
      <x:c r="M49" s="17" t="str">
        <x:f>IF(COUNT($E49:$F49)&lt;2,"",IF(AND(M$6&gt;=$E49,M$6&lt;=$F49),"■",""))</x:f>
      </x:c>
      <x:c r="N49" s="17" t="str">
        <x:f>IF(COUNT($E49:$F49)&lt;2,"",IF(AND(N$6&gt;=$E49,N$6&lt;=$F49),"■",""))</x:f>
        <x:v>■</x:v>
      </x:c>
      <x:c r="O49" s="9" t="str">
        <x:v>条件验收</x:v>
      </x:c>
      <x:c r="P49" s="9" t="str">
        <x:v>完整需求证据与实际交换接收凭据</x:v>
      </x:c>
      <x:c r="Q49" s="19" t="n">
        <x:v>1</x:v>
      </x:c>
      <x:c r="R49" s="16" t="str">
        <x:v>R01</x:v>
      </x:c>
      <x:c r="S49" s="19" t="n">
        <x:f>SUM(Y49:AB49)</x:f>
        <x:v>12</x:v>
      </x:c>
      <x:c r="T49" s="12" t="n">
        <x:f>WORKDAY('项目总表'!$B$15-1,AL49)</x:f>
        <x:v>46367</x:v>
      </x:c>
      <x:c r="U49" s="12" t="n">
        <x:f>WORKDAY(T49-1,Q49)</x:f>
        <x:v>46367</x:v>
      </x:c>
      <x:c r="V49" s="9" t="str">
        <x:v>SRS 9.4, AC-10B</x:v>
      </x:c>
      <x:c r="W49" s="9" t="str">
        <x:v>全范围验收评审，必须含AC-10B计划证据</x:v>
      </x:c>
      <x:c r="X49" s="9" t="str">
        <x:v>仿真计划，未执行</x:v>
      </x:c>
      <x:c r="Y49" s="34" t="n">
        <x:f>AM49</x:f>
        <x:v>4</x:v>
      </x:c>
      <x:c r="Z49" s="34" t="n">
        <x:f>AN49</x:f>
        <x:v>2</x:v>
      </x:c>
      <x:c r="AA49" s="34" t="n">
        <x:f>AO49</x:f>
        <x:v>2</x:v>
      </x:c>
      <x:c r="AB49" s="34" t="n">
        <x:f>AP49</x:f>
        <x:v>4</x:v>
      </x:c>
      <x:c r="AC49" s="34" t="n">
        <x:f>Y49*'资源计划'!$F$8+Z49*'资源计划'!$F$9+AA49*'资源计划'!$F$10+AB49*'资源计划'!$F$11</x:f>
        <x:v>1200</x:v>
      </x:c>
      <x:c r="AD49" s="29" t="str">
        <x:v>高</x:v>
      </x:c>
      <x:c r="AE49" s="29" t="str">
        <x:v>自下而上估算：按WBS活动分资源人时×仿真费率汇总；复杂度、复用条件和工作量假设逐轮复核。外部协议和验证条件未确认；不预置未经证实的模型参数。全范围验收评审，必须含AC-10B计划证据</x:v>
      </x:c>
      <x:c r="AF49" s="29" t="str">
        <x:v>是</x:v>
      </x:c>
      <x:c r="AG49" s="33" t="n">
        <x:v>0</x:v>
      </x:c>
      <x:c r="AH49" s="33" t="n">
        <x:f>Y49/Q49</x:f>
        <x:v>4</x:v>
      </x:c>
      <x:c r="AI49" s="33" t="n">
        <x:f>Z49/Q49</x:f>
        <x:v>2</x:v>
      </x:c>
      <x:c r="AJ49" s="33" t="n">
        <x:f>AA49/Q49</x:f>
        <x:v>2</x:v>
      </x:c>
      <x:c r="AK49" s="33" t="n">
        <x:f>AB49/Q49</x:f>
        <x:v>4</x:v>
      </x:c>
      <x:c r="AL49" s="41" t="n">
        <x:v>40</x:v>
      </x:c>
      <x:c r="AM49" s="33" t="n">
        <x:v>4</x:v>
      </x:c>
      <x:c r="AN49" s="33" t="n">
        <x:v>2</x:v>
      </x:c>
      <x:c r="AO49" s="33" t="n">
        <x:v>2</x:v>
      </x:c>
      <x:c r="AP49" s="33" t="n">
        <x:v>4</x:v>
      </x:c>
    </x:row>
    <x:row r="50" ht="72" customHeight="1">
      <x:c r="A50" s="16" t="str">
        <x:v>T5.7</x:v>
      </x:c>
      <x:c r="B50" s="16" t="str">
        <x:v>汇总8周模拟的最终项目计划</x:v>
      </x:c>
      <x:c r="C50" s="16" t="str">
        <x:v>项目管理</x:v>
      </x:c>
      <x:c r="D50" s="16" t="str">
        <x:v>T1.2FS; T2.5FS; T5.6SS</x:v>
      </x:c>
      <x:c r="E50" s="17" t="n">
        <x:f>INT((T50-'项目总表'!$B$15)/7)+1</x:f>
        <x:v>8</x:v>
      </x:c>
      <x:c r="F50" s="17" t="n">
        <x:f>INT((U50-'项目总表'!$B$15)/7)+1</x:f>
        <x:v>8</x:v>
      </x:c>
      <x:c r="G50" s="17" t="str">
        <x:f>IF(COUNT($E50:$F50)&lt;2,"",IF(AND(G$6&gt;=$E50,G$6&lt;=$F50),"■",""))</x:f>
      </x:c>
      <x:c r="H50" s="17" t="str">
        <x:f>IF(COUNT($E50:$F50)&lt;2,"",IF(AND(H$6&gt;=$E50,H$6&lt;=$F50),"■",""))</x:f>
      </x:c>
      <x:c r="I50" s="17" t="str">
        <x:f>IF(COUNT($E50:$F50)&lt;2,"",IF(AND(I$6&gt;=$E50,I$6&lt;=$F50),"■",""))</x:f>
      </x:c>
      <x:c r="J50" s="17" t="str">
        <x:f>IF(COUNT($E50:$F50)&lt;2,"",IF(AND(J$6&gt;=$E50,J$6&lt;=$F50),"■",""))</x:f>
      </x:c>
      <x:c r="K50" s="17" t="str">
        <x:f>IF(COUNT($E50:$F50)&lt;2,"",IF(AND(K$6&gt;=$E50,K$6&lt;=$F50),"■",""))</x:f>
      </x:c>
      <x:c r="L50" s="17" t="str">
        <x:f>IF(COUNT($E50:$F50)&lt;2,"",IF(AND(L$6&gt;=$E50,L$6&lt;=$F50),"■",""))</x:f>
      </x:c>
      <x:c r="M50" s="17" t="str">
        <x:f>IF(COUNT($E50:$F50)&lt;2,"",IF(AND(M$6&gt;=$E50,M$6&lt;=$F50),"■",""))</x:f>
      </x:c>
      <x:c r="N50" s="17" t="str">
        <x:f>IF(COUNT($E50:$F50)&lt;2,"",IF(AND(N$6&gt;=$E50,N$6&lt;=$F50),"■",""))</x:f>
        <x:v>■</x:v>
      </x:c>
      <x:c r="O50" s="9" t="str">
        <x:v>计划定稿</x:v>
      </x:c>
      <x:c r="P50" s="9" t="str">
        <x:v>完整项目计划与迭代说明</x:v>
      </x:c>
      <x:c r="Q50" s="19" t="n">
        <x:v>1</x:v>
      </x:c>
      <x:c r="R50" s="16" t="str">
        <x:v>R01</x:v>
      </x:c>
      <x:c r="S50" s="19" t="n">
        <x:f>SUM(Y50:AB50)</x:f>
        <x:v>8</x:v>
      </x:c>
      <x:c r="T50" s="12" t="n">
        <x:f>WORKDAY('项目总表'!$B$15-1,AL50)</x:f>
        <x:v>46367</x:v>
      </x:c>
      <x:c r="U50" s="12" t="n">
        <x:f>WORKDAY(T50-1,Q50)</x:f>
        <x:v>46367</x:v>
      </x:c>
      <x:c r="V50" s="9" t="str">
        <x:v>完整计划及版本记录评审</x:v>
      </x:c>
      <x:c r="W50" s="9" t="str">
        <x:v>项目经理和QA并行复核最终计划，与仿真验收安排同日定稿；不等待或虚构实际执行结果；已确认SRS接口后先交付内部接口骨架，模块重叠编码；集成和验收等待全部相关模块完成</x:v>
      </x:c>
      <x:c r="X50" s="9" t="str">
        <x:v>仿真计划，未执行</x:v>
      </x:c>
      <x:c r="Y50" s="34" t="n">
        <x:f>AM50</x:f>
        <x:v>4</x:v>
      </x:c>
      <x:c r="Z50" s="34" t="n">
        <x:f>AN50</x:f>
        <x:v>0</x:v>
      </x:c>
      <x:c r="AA50" s="34" t="n">
        <x:f>AO50</x:f>
        <x:v>0</x:v>
      </x:c>
      <x:c r="AB50" s="34" t="n">
        <x:f>AP50</x:f>
        <x:v>4</x:v>
      </x:c>
      <x:c r="AC50" s="34" t="n">
        <x:f>Y50*'资源计划'!$F$8+Z50*'资源计划'!$F$9+AA50*'资源计划'!$F$10+AB50*'资源计划'!$F$11</x:f>
        <x:v>760</x:v>
      </x:c>
      <x:c r="AD50" s="29" t="str">
        <x:v>中</x:v>
      </x:c>
      <x:c r="AE50" s="29" t="str">
        <x:v>自下而上估算：按WBS活动分资源人时×仿真费率汇总；复杂度、复用条件和工作量假设逐轮复核。项目经理和QA并行复核最终计划，与仿真验收安排同日定稿；不等待或虚构实际执行结果；已确认SRS接口后先交付内部接口骨架，模块重叠编码；集成和验收等待全部相关模块完成</x:v>
      </x:c>
      <x:c r="AF50" s="29" t="str">
        <x:v>是</x:v>
      </x:c>
      <x:c r="AG50" s="33" t="n">
        <x:v>0</x:v>
      </x:c>
      <x:c r="AH50" s="33" t="n">
        <x:f>Y50/Q50</x:f>
        <x:v>4</x:v>
      </x:c>
      <x:c r="AI50" s="33" t="n">
        <x:f>Z50/Q50</x:f>
        <x:v>0</x:v>
      </x:c>
      <x:c r="AJ50" s="33" t="n">
        <x:f>AA50/Q50</x:f>
        <x:v>0</x:v>
      </x:c>
      <x:c r="AK50" s="33" t="n">
        <x:f>AB50/Q50</x:f>
        <x:v>4</x:v>
      </x:c>
      <x:c r="AL50" s="41" t="n">
        <x:v>40</x:v>
      </x:c>
      <x:c r="AM50" s="33" t="n">
        <x:v>4</x:v>
      </x:c>
      <x:c r="AN50" s="33" t="n">
        <x:v>0</x:v>
      </x:c>
      <x:c r="AO50" s="33" t="n">
        <x:v>0</x:v>
      </x:c>
      <x:c r="AP50" s="33" t="n">
        <x:v>4</x:v>
      </x:c>
    </x:row>
    <x:row r="51" ht="30" customHeight="1">
      <x:c r="A51" s="4"/>
      <x:c r="B51" s="4"/>
      <x:c r="C51" s="4"/>
      <x:c r="D51" s="4"/>
      <x:c r="E51" s="4"/>
      <x:c r="F51" s="4"/>
      <x:c r="G51" s="4"/>
      <x:c r="H51" s="4"/>
      <x:c r="I51" s="4"/>
      <x:c r="J51" s="4"/>
      <x:c r="K51" s="4"/>
      <x:c r="L51" s="4"/>
      <x:c r="M51" s="4"/>
      <x:c r="N51" s="4"/>
      <x:c r="O51" s="4"/>
      <x:c r="P51" s="4"/>
      <x:c r="Q51" s="4"/>
      <x:c r="R51" s="4"/>
      <x:c r="S51" s="4"/>
      <x:c r="T51" s="4"/>
      <x:c r="U51" s="4"/>
      <x:c r="V51" s="4"/>
      <x:c r="W51" s="4"/>
      <x:c r="X51" s="4"/>
    </x:row>
  </x:sheetData>
  <x:dataValidations count="1">
    <x:dataValidation type="list" sqref="R7:R50">
      <x:formula1>"R01,R02,R03,R04,R05"</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6.8799991607666" hidden="0" customWidth="1"/>
    <x:col min="2" max="2" width="9.380000114440918" hidden="0" customWidth="1"/>
    <x:col min="3" max="3" width="25" hidden="0" customWidth="1"/>
    <x:col min="4" max="4" width="33.75" hidden="0" customWidth="1"/>
    <x:col min="5" max="5" width="15" hidden="0" customWidth="1"/>
    <x:col min="6" max="6" width="14.380000114440918" hidden="0" customWidth="1"/>
    <x:col min="7" max="7" width="8.75" hidden="0" customWidth="1"/>
    <x:col min="8" max="8" width="8.75" hidden="0" customWidth="1"/>
    <x:col min="9" max="9" width="8.75" hidden="0" customWidth="1"/>
    <x:col min="10" max="10" width="8.75" hidden="0" customWidth="1"/>
    <x:col min="11" max="11" width="8.75" hidden="0" customWidth="1"/>
    <x:col min="12" max="12" width="8.75" hidden="0" customWidth="1"/>
    <x:col min="13" max="13" width="8.75" hidden="0" customWidth="1"/>
    <x:col min="14" max="14" width="8.75" hidden="0" customWidth="1"/>
    <x:col min="15" max="15" width="12.5" hidden="0" customWidth="1"/>
    <x:col min="16" max="16" width="12.5" hidden="0" customWidth="1"/>
    <x:col min="17" max="17" width="21.25" hidden="0" customWidth="1"/>
    <x:col min="18" max="18" width="15" hidden="0" customWidth="1"/>
    <x:col min="19" max="19" width="50" hidden="0" customWidth="1"/>
  </x:cols>
  <x:sheetData>
    <x:row r="1" ht="30" customHeight="1">
      <x:c r="A1" s="4"/>
      <x:c r="B1" s="4"/>
      <x:c r="C1" s="4"/>
      <x:c r="D1" s="4"/>
      <x:c r="E1" s="4"/>
      <x:c r="F1" s="4"/>
      <x:c r="G1" s="4"/>
      <x:c r="H1" s="4"/>
      <x:c r="I1" s="4"/>
      <x:c r="J1" s="4"/>
      <x:c r="K1" s="4"/>
      <x:c r="L1" s="4"/>
      <x:c r="M1" s="4"/>
      <x:c r="N1" s="4"/>
      <x:c r="O1" s="4"/>
      <x:c r="P1" s="4"/>
      <x:c r="Q1" s="4"/>
      <x:c r="R1" s="4"/>
      <x:c r="S1" s="4"/>
    </x:row>
    <x:row r="2" ht="32" customHeight="1">
      <x:c r="A2" s="6" t="str">
        <x:v>4人资源与逐日负荷计划</x:v>
      </x:c>
      <x:c r="B2" s="4"/>
      <x:c r="C2" s="4"/>
      <x:c r="D2" s="4"/>
      <x:c r="E2" s="4"/>
      <x:c r="F2" s="4"/>
      <x:c r="G2" s="4"/>
      <x:c r="H2" s="4"/>
      <x:c r="I2" s="4"/>
      <x:c r="J2" s="4"/>
      <x:c r="K2" s="4"/>
      <x:c r="L2" s="4"/>
      <x:c r="M2" s="4"/>
      <x:c r="N2" s="4"/>
      <x:c r="O2" s="4"/>
      <x:c r="P2" s="4"/>
      <x:c r="Q2" s="4"/>
      <x:c r="R2" s="4"/>
      <x:c r="S2" s="4"/>
    </x:row>
    <x:row r="3" ht="30" customHeight="1">
      <x:c r="A3" s="8" t="str">
        <x:v>R01–R04为4名明确仿真成员，R05停用。原分配内开展成果交接与非作者交叉复核；实际成员履历和执行结果留空。</x:v>
      </x:c>
      <x:c r="B3" s="4"/>
      <x:c r="C3" s="4"/>
      <x:c r="D3" s="4"/>
      <x:c r="E3" s="4"/>
      <x:c r="F3" s="4"/>
      <x:c r="G3" s="4"/>
      <x:c r="H3" s="4"/>
      <x:c r="I3" s="4"/>
      <x:c r="J3" s="4"/>
      <x:c r="K3" s="4"/>
      <x:c r="L3" s="4"/>
      <x:c r="M3" s="4"/>
      <x:c r="N3" s="4"/>
      <x:c r="O3" s="4"/>
      <x:c r="P3" s="4"/>
      <x:c r="Q3" s="4"/>
      <x:c r="R3" s="4"/>
      <x:c r="S3" s="4"/>
    </x:row>
    <x:row r="4" ht="30" customHeight="1">
      <x:c r="A4" s="8" t="str">
        <x:v>分周投入由任务分配和日期计算；工作量合计、逐日负荷与每周40小时容量相互核对。</x:v>
      </x:c>
      <x:c r="B4" s="4"/>
      <x:c r="C4" s="4"/>
      <x:c r="D4" s="4"/>
      <x:c r="E4" s="4"/>
      <x:c r="F4" s="4"/>
      <x:c r="G4" s="4"/>
      <x:c r="H4" s="4"/>
      <x:c r="I4" s="4"/>
      <x:c r="J4" s="4"/>
      <x:c r="K4" s="4"/>
      <x:c r="L4" s="4"/>
      <x:c r="M4" s="4"/>
      <x:c r="N4" s="4"/>
      <x:c r="O4" s="4"/>
      <x:c r="P4" s="4"/>
      <x:c r="Q4" s="4"/>
      <x:c r="R4" s="4"/>
      <x:c r="S4" s="4"/>
    </x:row>
    <x:row r="5" ht="30" customHeight="1">
      <x:c r="A5" s="4"/>
      <x:c r="B5" s="4"/>
      <x:c r="C5" s="4"/>
      <x:c r="D5" s="4"/>
      <x:c r="E5" s="4"/>
      <x:c r="F5" s="4"/>
      <x:c r="G5" s="4"/>
      <x:c r="H5" s="4"/>
      <x:c r="I5" s="4"/>
      <x:c r="J5" s="4"/>
      <x:c r="K5" s="4"/>
      <x:c r="L5" s="4"/>
      <x:c r="M5" s="4"/>
      <x:c r="N5" s="4"/>
      <x:c r="O5" s="4"/>
      <x:c r="P5" s="4"/>
      <x:c r="Q5" s="4"/>
      <x:c r="R5" s="4"/>
      <x:c r="S5" s="4"/>
    </x:row>
    <x:row r="6" ht="30" customHeight="1">
      <x:c r="A6" s="4"/>
      <x:c r="B6" s="4"/>
      <x:c r="C6" s="4"/>
      <x:c r="D6" s="4"/>
      <x:c r="E6" s="4"/>
      <x:c r="F6" s="4"/>
      <x:c r="G6" s="4"/>
      <x:c r="H6" s="4"/>
      <x:c r="I6" s="4"/>
      <x:c r="J6" s="4"/>
      <x:c r="K6" s="4"/>
      <x:c r="L6" s="4"/>
      <x:c r="M6" s="4"/>
      <x:c r="N6" s="4"/>
      <x:c r="O6" s="4"/>
      <x:c r="P6" s="4"/>
      <x:c r="Q6" s="4"/>
      <x:c r="R6" s="4"/>
      <x:c r="S6" s="4"/>
    </x:row>
    <x:row r="7" ht="38" customHeight="1">
      <x:c r="A7" s="11" t="str">
        <x:v>启用（是/否）</x:v>
      </x:c>
      <x:c r="B7" s="11" t="str">
        <x:v>资源ID</x:v>
      </x:c>
      <x:c r="C7" s="11" t="str">
        <x:v>成员姓名</x:v>
      </x:c>
      <x:c r="D7" s="11" t="str">
        <x:v>仿真角色与分工</x:v>
      </x:c>
      <x:c r="E7" s="11" t="str">
        <x:v>每周可用人时</x:v>
      </x:c>
      <x:c r="F7" s="11" t="str">
        <x:v>费率（元/人时）</x:v>
      </x:c>
      <x:c r="G7" s="11" t="str">
        <x:v>W1人时</x:v>
      </x:c>
      <x:c r="H7" s="11" t="str">
        <x:v>W2人时</x:v>
      </x:c>
      <x:c r="I7" s="11" t="str">
        <x:v>W3人时</x:v>
      </x:c>
      <x:c r="J7" s="11" t="str">
        <x:v>W4人时</x:v>
      </x:c>
      <x:c r="K7" s="11" t="str">
        <x:v>W5人时</x:v>
      </x:c>
      <x:c r="L7" s="11" t="str">
        <x:v>W6人时</x:v>
      </x:c>
      <x:c r="M7" s="11" t="str">
        <x:v>W7人时</x:v>
      </x:c>
      <x:c r="N7" s="11" t="str">
        <x:v>W8人时</x:v>
      </x:c>
      <x:c r="O7" s="11" t="str">
        <x:v>总投入人时</x:v>
      </x:c>
      <x:c r="P7" s="11" t="str">
        <x:v>最大周投入</x:v>
      </x:c>
      <x:c r="Q7" s="11" t="str">
        <x:v>负荷提示</x:v>
      </x:c>
      <x:c r="R7" s="11" t="str">
        <x:v>任务工作量合计</x:v>
      </x:c>
      <x:c r="S7" s="11" t="str">
        <x:v>估算或身份说明</x:v>
      </x:c>
    </x:row>
    <x:row r="8" ht="65" customHeight="1">
      <x:c r="A8" s="9" t="str">
        <x:v>是</x:v>
      </x:c>
      <x:c r="B8" s="9" t="str">
        <x:v>R01</x:v>
      </x:c>
      <x:c r="C8" s="9" t="str">
        <x:v>刘显尘（仿真项目经理）</x:v>
      </x:c>
      <x:c r="D8" s="9" t="str">
        <x:v>项目经理、需求、架构及开发</x:v>
      </x:c>
      <x:c r="E8" s="19" t="n">
        <x:f>'项目总表'!$B$55*5</x:f>
        <x:v>40</x:v>
      </x:c>
      <x:c r="F8" s="20" t="n">
        <x:v>100</x:v>
      </x:c>
      <x:c r="G8" s="19" t="n">
        <x:f>SUMIFS($C$29:$C$68,$B$29:$B$68,1)</x:f>
        <x:v>36</x:v>
      </x:c>
      <x:c r="H8" s="19" t="n">
        <x:f>SUMIFS($C$29:$C$68,$B$29:$B$68,2)</x:f>
        <x:v>26.500000000000004</x:v>
      </x:c>
      <x:c r="I8" s="19" t="n">
        <x:f>SUMIFS($C$29:$C$68,$B$29:$B$68,3)</x:f>
        <x:v>27.5</x:v>
      </x:c>
      <x:c r="J8" s="19" t="n">
        <x:f>SUMIFS($C$29:$C$68,$B$29:$B$68,4)</x:f>
        <x:v>29</x:v>
      </x:c>
      <x:c r="K8" s="19" t="n">
        <x:f>SUMIFS($C$29:$C$68,$B$29:$B$68,5)</x:f>
        <x:v>30</x:v>
      </x:c>
      <x:c r="L8" s="19" t="n">
        <x:f>SUMIFS($C$29:$C$68,$B$29:$B$68,6)</x:f>
        <x:v>30.000000000000007</x:v>
      </x:c>
      <x:c r="M8" s="19" t="n">
        <x:f>SUMIFS($C$29:$C$68,$B$29:$B$68,7)</x:f>
        <x:v>34.66666666666667</x:v>
      </x:c>
      <x:c r="N8" s="19" t="n">
        <x:f>SUMIFS($C$29:$C$68,$B$29:$B$68,8)</x:f>
        <x:v>29.333333333333336</x:v>
      </x:c>
      <x:c r="O8" s="19" t="n">
        <x:f>IF(A8="否",0,IF(AND(A8="是",COUNT(G8:N8)=8),SUM(G8:N8),""))</x:f>
        <x:v>243.00000000000003</x:v>
      </x:c>
      <x:c r="P8" s="19" t="n">
        <x:f>IF(A8="否",0,IF(AND(A8="是",COUNT(G8:N8)=8),MAX(G8:N8),""))</x:f>
        <x:v>36</x:v>
      </x:c>
      <x:c r="Q8" s="9" t="str">
        <x:f>IF(A8="否","不计入",IF(A8&lt;&gt;"是","待确认启用",IF(COUNT(E8,P8)&lt;2,"待确认可用时间/投入",IF(P8&gt;E8,"超负荷，需调整","周负荷未超上限"))))</x:f>
        <x:v>周负荷未超上限</x:v>
      </x:c>
      <x:c r="R8" s="9" t="n">
        <x:f>SUM('任务与甘特'!Y7:Y50)</x:f>
        <x:v>243</x:v>
      </x:c>
      <x:c r="S8" s="9" t="str">
        <x:v>仿真角色和费率；真实成员身份未确认；不含间接分摊</x:v>
      </x:c>
    </x:row>
    <x:row r="9" ht="65" customHeight="1">
      <x:c r="A9" s="9" t="str">
        <x:v>是</x:v>
      </x:c>
      <x:c r="B9" s="9" t="str">
        <x:v>R02</x:v>
      </x:c>
      <x:c r="C9" s="9" t="str">
        <x:v>成员B（仿真后端）</x:v>
      </x:c>
      <x:c r="D9" s="9" t="str">
        <x:v>后端、数据模型、交换接口</x:v>
      </x:c>
      <x:c r="E9" s="19" t="n">
        <x:f>'项目总表'!$B$55*5</x:f>
        <x:v>40</x:v>
      </x:c>
      <x:c r="F9" s="20" t="n">
        <x:v>120</x:v>
      </x:c>
      <x:c r="G9" s="19" t="n">
        <x:f>SUMIFS($D$29:$D$68,$B$29:$B$68,1)</x:f>
        <x:v>30</x:v>
      </x:c>
      <x:c r="H9" s="19" t="n">
        <x:f>SUMIFS($D$29:$D$68,$B$29:$B$68,2)</x:f>
        <x:v>24.499999999999996</x:v>
      </x:c>
      <x:c r="I9" s="19" t="n">
        <x:f>SUMIFS($D$29:$D$68,$B$29:$B$68,3)</x:f>
        <x:v>30.5</x:v>
      </x:c>
      <x:c r="J9" s="19" t="n">
        <x:f>SUMIFS($D$29:$D$68,$B$29:$B$68,4)</x:f>
        <x:v>37.99999999999999</x:v>
      </x:c>
      <x:c r="K9" s="19" t="n">
        <x:f>SUMIFS($D$29:$D$68,$B$29:$B$68,5)</x:f>
        <x:v>30</x:v>
      </x:c>
      <x:c r="L9" s="19" t="n">
        <x:f>SUMIFS($D$29:$D$68,$B$29:$B$68,6)</x:f>
        <x:v>37</x:v>
      </x:c>
      <x:c r="M9" s="19" t="n">
        <x:f>SUMIFS($D$29:$D$68,$B$29:$B$68,7)</x:f>
        <x:v>25.666666666666664</x:v>
      </x:c>
      <x:c r="N9" s="19" t="n">
        <x:f>SUMIFS($D$29:$D$68,$B$29:$B$68,8)</x:f>
        <x:v>13.333333333333332</x:v>
      </x:c>
      <x:c r="O9" s="19" t="n">
        <x:f>IF(A9="否",0,IF(AND(A9="是",COUNT(G9:N9)=8),SUM(G9:N9),""))</x:f>
        <x:v>229</x:v>
      </x:c>
      <x:c r="P9" s="19" t="n">
        <x:f>IF(A9="否",0,IF(AND(A9="是",COUNT(G9:N9)=8),MAX(G9:N9),""))</x:f>
        <x:v>37.99999999999999</x:v>
      </x:c>
      <x:c r="Q9" s="9" t="str">
        <x:f>IF(A9="否","不计入",IF(A9&lt;&gt;"是","待确认启用",IF(COUNT(E9,P9)&lt;2,"待确认可用时间/投入",IF(P9&gt;E9,"超负荷，需调整","周负荷未超上限"))))</x:f>
        <x:v>周负荷未超上限</x:v>
      </x:c>
      <x:c r="R9" s="9" t="n">
        <x:f>SUM('任务与甘特'!Z7:Z50)</x:f>
        <x:v>229</x:v>
      </x:c>
      <x:c r="S9" s="9" t="str">
        <x:v>仿真角色和费率；真实成员身份未确认；不含间接分摊</x:v>
      </x:c>
    </x:row>
    <x:row r="10" ht="65" customHeight="1">
      <x:c r="A10" s="9" t="str">
        <x:v>是</x:v>
      </x:c>
      <x:c r="B10" s="9" t="str">
        <x:v>R03</x:v>
      </x:c>
      <x:c r="C10" s="9" t="str">
        <x:v>成员C（仿真前端）</x:v>
      </x:c>
      <x:c r="D10" s="9" t="str">
        <x:v>前端、图表、导出与兼容验证</x:v>
      </x:c>
      <x:c r="E10" s="19" t="n">
        <x:f>'项目总表'!$B$55*5</x:f>
        <x:v>40</x:v>
      </x:c>
      <x:c r="F10" s="20" t="n">
        <x:v>100</x:v>
      </x:c>
      <x:c r="G10" s="19" t="n">
        <x:f>SUMIFS($E$29:$E$68,$B$29:$B$68,1)</x:f>
        <x:v>16</x:v>
      </x:c>
      <x:c r="H10" s="19" t="n">
        <x:f>SUMIFS($E$29:$E$68,$B$29:$B$68,2)</x:f>
        <x:v>15.5</x:v>
      </x:c>
      <x:c r="I10" s="19" t="n">
        <x:f>SUMIFS($E$29:$E$68,$B$29:$B$68,3)</x:f>
        <x:v>29.5</x:v>
      </x:c>
      <x:c r="J10" s="19" t="n">
        <x:f>SUMIFS($E$29:$E$68,$B$29:$B$68,4)</x:f>
        <x:v>27.666666666666668</x:v>
      </x:c>
      <x:c r="K10" s="19" t="n">
        <x:f>SUMIFS($E$29:$E$68,$B$29:$B$68,5)</x:f>
        <x:v>27.333333333333332</x:v>
      </x:c>
      <x:c r="L10" s="19" t="n">
        <x:f>SUMIFS($E$29:$E$68,$B$29:$B$68,6)</x:f>
        <x:v>24</x:v>
      </x:c>
      <x:c r="M10" s="19" t="n">
        <x:f>SUMIFS($E$29:$E$68,$B$29:$B$68,7)</x:f>
        <x:v>26.666666666666664</x:v>
      </x:c>
      <x:c r="N10" s="19" t="n">
        <x:f>SUMIFS($E$29:$E$68,$B$29:$B$68,8)</x:f>
        <x:v>15.333333333333332</x:v>
      </x:c>
      <x:c r="O10" s="19" t="n">
        <x:f>IF(A10="否",0,IF(AND(A10="是",COUNT(G10:N10)=8),SUM(G10:N10),""))</x:f>
        <x:v>182</x:v>
      </x:c>
      <x:c r="P10" s="19" t="n">
        <x:f>IF(A10="否",0,IF(AND(A10="是",COUNT(G10:N10)=8),MAX(G10:N10),""))</x:f>
        <x:v>29.5</x:v>
      </x:c>
      <x:c r="Q10" s="9" t="str">
        <x:f>IF(A10="否","不计入",IF(A10&lt;&gt;"是","待确认启用",IF(COUNT(E10,P10)&lt;2,"待确认可用时间/投入",IF(P10&gt;E10,"超负荷，需调整","周负荷未超上限"))))</x:f>
        <x:v>周负荷未超上限</x:v>
      </x:c>
      <x:c r="R10" s="9" t="n">
        <x:f>SUM('任务与甘特'!AA7:AA50)</x:f>
        <x:v>182</x:v>
      </x:c>
      <x:c r="S10" s="9" t="str">
        <x:v>仿真角色和费率；真实成员身份未确认；不含间接分摊</x:v>
      </x:c>
    </x:row>
    <x:row r="11" ht="65" customHeight="1">
      <x:c r="A11" s="9" t="str">
        <x:v>是</x:v>
      </x:c>
      <x:c r="B11" s="9" t="str">
        <x:v>R04</x:v>
      </x:c>
      <x:c r="C11" s="9" t="str">
        <x:v>成员D（仿真测试部署）</x:v>
      </x:c>
      <x:c r="D11" s="9" t="str">
        <x:v>测试、质量、监控、部署及工具开发</x:v>
      </x:c>
      <x:c r="E11" s="19" t="n">
        <x:f>'项目总表'!$B$55*5</x:f>
        <x:v>40</x:v>
      </x:c>
      <x:c r="F11" s="20" t="n">
        <x:v>90</x:v>
      </x:c>
      <x:c r="G11" s="19" t="n">
        <x:f>SUMIFS($F$29:$F$68,$B$29:$B$68,1)</x:f>
        <x:v>34</x:v>
      </x:c>
      <x:c r="H11" s="19" t="n">
        <x:f>SUMIFS($F$29:$F$68,$B$29:$B$68,2)</x:f>
        <x:v>24.166666666666664</x:v>
      </x:c>
      <x:c r="I11" s="19" t="n">
        <x:f>SUMIFS($F$29:$F$68,$B$29:$B$68,3)</x:f>
        <x:v>12.833333333333332</x:v>
      </x:c>
      <x:c r="J11" s="19" t="n">
        <x:f>SUMIFS($F$29:$F$68,$B$29:$B$68,4)</x:f>
        <x:v>21.333333333333336</x:v>
      </x:c>
      <x:c r="K11" s="19" t="n">
        <x:f>SUMIFS($F$29:$F$68,$B$29:$B$68,5)</x:f>
        <x:v>30.666666666666664</x:v>
      </x:c>
      <x:c r="L11" s="19" t="n">
        <x:f>SUMIFS($F$29:$F$68,$B$29:$B$68,6)</x:f>
        <x:v>36</x:v>
      </x:c>
      <x:c r="M11" s="19" t="n">
        <x:f>SUMIFS($F$29:$F$68,$B$29:$B$68,7)</x:f>
        <x:v>35.333333333333336</x:v>
      </x:c>
      <x:c r="N11" s="19" t="n">
        <x:f>SUMIFS($F$29:$F$68,$B$29:$B$68,8)</x:f>
        <x:v>28.666666666666668</x:v>
      </x:c>
      <x:c r="O11" s="19" t="n">
        <x:f>IF(A11="否",0,IF(AND(A11="是",COUNT(G11:N11)=8),SUM(G11:N11),""))</x:f>
        <x:v>223</x:v>
      </x:c>
      <x:c r="P11" s="19" t="n">
        <x:f>IF(A11="否",0,IF(AND(A11="是",COUNT(G11:N11)=8),MAX(G11:N11),""))</x:f>
        <x:v>36</x:v>
      </x:c>
      <x:c r="Q11" s="9" t="str">
        <x:f>IF(A11="否","不计入",IF(A11&lt;&gt;"是","待确认启用",IF(COUNT(E11,P11)&lt;2,"待确认可用时间/投入",IF(P11&gt;E11,"超负荷，需调整","周负荷未超上限"))))</x:f>
        <x:v>周负荷未超上限</x:v>
      </x:c>
      <x:c r="R11" s="9" t="n">
        <x:f>SUM('任务与甘特'!AB7:AB50)</x:f>
        <x:v>223</x:v>
      </x:c>
      <x:c r="S11" s="9" t="str">
        <x:v>仿真角色和费率；真实成员身份未确认；不含间接分摊</x:v>
      </x:c>
    </x:row>
    <x:row r="12" ht="65" customHeight="1">
      <x:c r="A12" s="9" t="str">
        <x:v>否</x:v>
      </x:c>
      <x:c r="B12" s="9" t="str">
        <x:v>R05</x:v>
      </x:c>
      <x:c r="C12" s="9" t="str">
        <x:v>不启用</x:v>
      </x:c>
      <x:c r="D12" s="9" t="str">
        <x:v>不计入4人团队</x:v>
      </x:c>
      <x:c r="E12" s="19" t="n">
        <x:f>0</x:f>
        <x:v>0</x:v>
      </x:c>
      <x:c r="F12" s="20" t="n">
        <x:v>0</x:v>
      </x:c>
      <x:c r="G12" s="19" t="n">
        <x:f>0</x:f>
        <x:v>0</x:v>
      </x:c>
      <x:c r="H12" s="19" t="n">
        <x:f>0</x:f>
        <x:v>0</x:v>
      </x:c>
      <x:c r="I12" s="19" t="n">
        <x:f>0</x:f>
        <x:v>0</x:v>
      </x:c>
      <x:c r="J12" s="19" t="n">
        <x:f>0</x:f>
        <x:v>0</x:v>
      </x:c>
      <x:c r="K12" s="19" t="n">
        <x:f>0</x:f>
        <x:v>0</x:v>
      </x:c>
      <x:c r="L12" s="19" t="n">
        <x:f>0</x:f>
        <x:v>0</x:v>
      </x:c>
      <x:c r="M12" s="19" t="n">
        <x:f>0</x:f>
        <x:v>0</x:v>
      </x:c>
      <x:c r="N12" s="19" t="n">
        <x:f>0</x:f>
        <x:v>0</x:v>
      </x:c>
      <x:c r="O12" s="19" t="n">
        <x:f>IF(A12="否",0,IF(AND(A12="是",COUNT(G12:N12)=8),SUM(G12:N12),""))</x:f>
        <x:v>0</x:v>
      </x:c>
      <x:c r="P12" s="19" t="n">
        <x:f>IF(A12="否",0,IF(AND(A12="是",COUNT(G12:N12)=8),MAX(G12:N12),""))</x:f>
        <x:v>0</x:v>
      </x:c>
      <x:c r="Q12" s="9" t="str">
        <x:f>IF(A12="否","不计入",IF(A12&lt;&gt;"是","待确认启用",IF(COUNT(E12,P12)&lt;2,"待确认可用时间/投入",IF(P12&gt;E12,"超负荷，需调整","周负荷未超上限"))))</x:f>
        <x:v>不计入</x:v>
      </x:c>
      <x:c r="R12" s="9" t="n">
        <x:f>0</x:f>
        <x:v>0</x:v>
      </x:c>
      <x:c r="S12" s="9" t="str">
        <x:v>明确停用，全部人时及费用为0</x:v>
      </x:c>
    </x:row>
    <x:row r="13" ht="30" customHeight="1">
      <x:c r="A13" s="4"/>
      <x:c r="B13" s="4"/>
      <x:c r="C13" s="4"/>
      <x:c r="D13" s="4"/>
      <x:c r="E13" s="4"/>
      <x:c r="F13" s="4"/>
      <x:c r="G13" s="4"/>
      <x:c r="H13" s="4"/>
      <x:c r="I13" s="4"/>
      <x:c r="J13" s="4"/>
      <x:c r="K13" s="4"/>
      <x:c r="L13" s="4"/>
      <x:c r="M13" s="4"/>
      <x:c r="N13" s="4"/>
      <x:c r="O13" s="4"/>
      <x:c r="P13" s="4"/>
      <x:c r="Q13" s="4"/>
      <x:c r="R13" s="4"/>
      <x:c r="S13" s="4"/>
    </x:row>
    <x:row r="14" ht="30" customHeight="1">
      <x:c r="A14" s="4"/>
      <x:c r="B14" s="4"/>
      <x:c r="C14" s="4"/>
      <x:c r="D14" s="4"/>
      <x:c r="E14" s="4"/>
      <x:c r="F14" s="4"/>
      <x:c r="G14" s="4"/>
      <x:c r="H14" s="4"/>
      <x:c r="I14" s="4"/>
      <x:c r="J14" s="4"/>
      <x:c r="K14" s="4"/>
      <x:c r="L14" s="4"/>
      <x:c r="M14" s="4"/>
      <x:c r="N14" s="4"/>
      <x:c r="O14" s="4"/>
      <x:c r="P14" s="4"/>
      <x:c r="Q14" s="4"/>
      <x:c r="R14" s="4"/>
      <x:c r="S14" s="4"/>
    </x:row>
    <x:row r="15" ht="30" customHeight="1">
      <x:c r="A15" s="4"/>
      <x:c r="B15" s="4"/>
      <x:c r="C15" s="4"/>
      <x:c r="D15" s="4"/>
      <x:c r="E15" s="4"/>
      <x:c r="F15" s="4"/>
      <x:c r="G15" s="4"/>
      <x:c r="H15" s="4"/>
      <x:c r="I15" s="4"/>
      <x:c r="J15" s="4"/>
      <x:c r="K15" s="4"/>
      <x:c r="L15" s="4"/>
      <x:c r="M15" s="4"/>
      <x:c r="N15" s="4"/>
      <x:c r="O15" s="4"/>
      <x:c r="P15" s="4"/>
      <x:c r="Q15" s="4"/>
      <x:c r="R15" s="4"/>
      <x:c r="S15" s="4"/>
    </x:row>
    <x:row r="16" ht="32" customHeight="1">
      <x:c r="A16" s="22" t="str">
        <x:v>资源安排说明</x:v>
      </x:c>
      <x:c r="B16" s="23"/>
      <x:c r="C16" s="23"/>
      <x:c r="D16" s="23"/>
      <x:c r="E16" s="23"/>
      <x:c r="F16" s="23"/>
      <x:c r="G16" s="23"/>
      <x:c r="H16" s="23"/>
      <x:c r="I16" s="23"/>
      <x:c r="J16" s="23"/>
      <x:c r="K16" s="23"/>
      <x:c r="L16" s="23"/>
      <x:c r="M16" s="23"/>
      <x:c r="N16" s="23"/>
      <x:c r="O16" s="23"/>
      <x:c r="P16" s="23"/>
      <x:c r="Q16" s="23"/>
      <x:c r="R16" s="23"/>
      <x:c r="S16" s="23"/>
    </x:row>
    <x:row r="17" ht="32" customHeight="1">
      <x:c r="A17" s="23" t="str">
        <x:v>角色：R01项目经理兼需求与开发、R02后端、R03前端、R04测试部署兼工具开发。</x:v>
      </x:c>
      <x:c r="B17" s="23"/>
      <x:c r="C17" s="23"/>
      <x:c r="D17" s="23"/>
      <x:c r="E17" s="23"/>
      <x:c r="F17" s="23"/>
      <x:c r="G17" s="23"/>
      <x:c r="H17" s="23"/>
      <x:c r="I17" s="23"/>
      <x:c r="J17" s="23"/>
      <x:c r="K17" s="23"/>
      <x:c r="L17" s="23"/>
      <x:c r="M17" s="23"/>
      <x:c r="N17" s="23"/>
      <x:c r="O17" s="23"/>
      <x:c r="P17" s="23"/>
      <x:c r="Q17" s="23"/>
      <x:c r="R17" s="23"/>
      <x:c r="S17" s="23"/>
    </x:row>
    <x:row r="18" ht="32" customHeight="1">
      <x:c r="A18" s="23" t="str">
        <x:v>团队：4人；费率为100/120/100/90元每人时，均为仿真设定。</x:v>
      </x:c>
      <x:c r="B18" s="23"/>
      <x:c r="C18" s="23"/>
      <x:c r="D18" s="23"/>
      <x:c r="E18" s="23"/>
      <x:c r="F18" s="23"/>
      <x:c r="G18" s="23"/>
      <x:c r="H18" s="23"/>
      <x:c r="I18" s="23"/>
      <x:c r="J18" s="23"/>
      <x:c r="K18" s="23"/>
      <x:c r="L18" s="23"/>
      <x:c r="M18" s="23"/>
      <x:c r="N18" s="23"/>
      <x:c r="O18" s="23"/>
      <x:c r="P18" s="23"/>
      <x:c r="Q18" s="23"/>
      <x:c r="R18" s="23"/>
      <x:c r="S18" s="23"/>
    </x:row>
    <x:row r="19" ht="32" customHeight="1">
      <x:c r="A19" s="23" t="str">
        <x:v>资源平衡：按每项任务参与人时/工期均匀分配；核验每天≤8h、每周≤40h，不安排人员加班。</x:v>
      </x:c>
      <x:c r="B19" s="23"/>
      <x:c r="C19" s="23"/>
      <x:c r="D19" s="23"/>
      <x:c r="E19" s="23"/>
      <x:c r="F19" s="23"/>
      <x:c r="G19" s="23"/>
      <x:c r="H19" s="23"/>
      <x:c r="I19" s="23"/>
      <x:c r="J19" s="23"/>
      <x:c r="K19" s="23"/>
      <x:c r="L19" s="23"/>
      <x:c r="M19" s="23"/>
      <x:c r="N19" s="23"/>
      <x:c r="O19" s="23"/>
      <x:c r="P19" s="23"/>
      <x:c r="Q19" s="23"/>
      <x:c r="R19" s="23"/>
      <x:c r="S19" s="23"/>
    </x:row>
    <x:row r="20" ht="32" customHeight="1">
      <x:c r="A20" s="23" t="str">
        <x:v>工作量：任务各成员分配合计与分周投入一致；未分配容量不能视为额外日历缓冲。</x:v>
      </x:c>
      <x:c r="B20" s="23"/>
      <x:c r="C20" s="23"/>
      <x:c r="D20" s="23"/>
      <x:c r="E20" s="23"/>
      <x:c r="F20" s="23"/>
      <x:c r="G20" s="23"/>
      <x:c r="H20" s="23"/>
      <x:c r="I20" s="23"/>
      <x:c r="J20" s="23"/>
      <x:c r="K20" s="23"/>
      <x:c r="L20" s="23"/>
      <x:c r="M20" s="23"/>
      <x:c r="N20" s="23"/>
      <x:c r="O20" s="23"/>
      <x:c r="P20" s="23"/>
      <x:c r="Q20" s="23"/>
      <x:c r="R20" s="23"/>
      <x:c r="S20" s="23"/>
    </x:row>
    <x:row r="21" ht="32" customHeight="1">
      <x:c r="A21" s="23" t="str">
        <x:v>交叉复核按具体成果避开作者；兼岗成员互核，不认定存在独立质量部门。日期、投入变化须办理CR并重核负荷。</x:v>
      </x:c>
      <x:c r="B21" s="23"/>
      <x:c r="C21" s="23"/>
      <x:c r="D21" s="23"/>
      <x:c r="E21" s="23"/>
      <x:c r="F21" s="23"/>
      <x:c r="G21" s="23"/>
      <x:c r="H21" s="23"/>
      <x:c r="I21" s="23"/>
      <x:c r="J21" s="23"/>
      <x:c r="K21" s="23"/>
      <x:c r="L21" s="23"/>
      <x:c r="M21" s="23"/>
      <x:c r="N21" s="23"/>
      <x:c r="O21" s="23"/>
      <x:c r="P21" s="23"/>
      <x:c r="Q21" s="23"/>
      <x:c r="R21" s="23"/>
      <x:c r="S21" s="23"/>
    </x:row>
    <x:row r="22" ht="30" customHeight="1">
      <x:c r="A22" s="4"/>
      <x:c r="B22" s="4"/>
      <x:c r="C22" s="4"/>
      <x:c r="D22" s="4"/>
      <x:c r="E22" s="4"/>
      <x:c r="F22" s="4"/>
      <x:c r="G22" s="4"/>
      <x:c r="H22" s="4"/>
      <x:c r="I22" s="4"/>
      <x:c r="J22" s="4"/>
      <x:c r="K22" s="4"/>
      <x:c r="L22" s="4"/>
      <x:c r="M22" s="4"/>
      <x:c r="N22" s="4"/>
      <x:c r="O22" s="4"/>
      <x:c r="P22" s="4"/>
      <x:c r="Q22" s="4"/>
      <x:c r="R22" s="4"/>
      <x:c r="S22" s="4"/>
    </x:row>
    <x:row r="23" ht="30" customHeight="1">
      <x:c r="A23" s="4"/>
      <x:c r="B23" s="4"/>
      <x:c r="C23" s="4"/>
      <x:c r="D23" s="4"/>
      <x:c r="E23" s="4"/>
      <x:c r="F23" s="4"/>
      <x:c r="G23" s="4"/>
      <x:c r="H23" s="4"/>
      <x:c r="I23" s="4"/>
      <x:c r="J23" s="4"/>
      <x:c r="K23" s="4"/>
      <x:c r="L23" s="4"/>
      <x:c r="M23" s="4"/>
      <x:c r="N23" s="4"/>
      <x:c r="O23" s="4"/>
      <x:c r="P23" s="4"/>
      <x:c r="Q23" s="4"/>
      <x:c r="R23" s="4"/>
      <x:c r="S23" s="4"/>
    </x:row>
    <x:row r="24" ht="30" customHeight="1">
      <x:c r="A24" s="4"/>
      <x:c r="B24" s="4"/>
      <x:c r="C24" s="4"/>
      <x:c r="D24" s="4"/>
      <x:c r="E24" s="4"/>
      <x:c r="F24" s="4"/>
      <x:c r="G24" s="4"/>
      <x:c r="H24" s="4"/>
      <x:c r="I24" s="4"/>
      <x:c r="J24" s="4"/>
      <x:c r="K24" s="4"/>
      <x:c r="L24" s="4"/>
      <x:c r="M24" s="4"/>
      <x:c r="N24" s="4"/>
      <x:c r="O24" s="4"/>
      <x:c r="P24" s="4"/>
      <x:c r="Q24" s="4"/>
      <x:c r="R24" s="4"/>
      <x:c r="S24" s="4"/>
    </x:row>
    <x:row r="25" ht="30" customHeight="1">
      <x:c r="A25" s="4"/>
      <x:c r="B25" s="4"/>
      <x:c r="C25" s="4"/>
      <x:c r="D25" s="4"/>
      <x:c r="E25" s="4"/>
      <x:c r="F25" s="4"/>
      <x:c r="G25" s="4"/>
      <x:c r="H25" s="4"/>
      <x:c r="I25" s="4"/>
      <x:c r="J25" s="4"/>
      <x:c r="K25" s="4"/>
      <x:c r="L25" s="4"/>
      <x:c r="M25" s="4"/>
      <x:c r="N25" s="4"/>
      <x:c r="O25" s="4"/>
      <x:c r="P25" s="4"/>
      <x:c r="Q25" s="4"/>
      <x:c r="R25" s="4"/>
      <x:c r="S25" s="4"/>
    </x:row>
    <x:row r="26" ht="30" customHeight="1">
      <x:c r="A26" s="4"/>
      <x:c r="B26" s="4"/>
      <x:c r="C26" s="4"/>
      <x:c r="D26" s="4"/>
      <x:c r="E26" s="4"/>
      <x:c r="F26" s="4"/>
      <x:c r="G26" s="4"/>
      <x:c r="H26" s="4"/>
      <x:c r="I26" s="4"/>
      <x:c r="J26" s="4"/>
      <x:c r="K26" s="4"/>
      <x:c r="L26" s="4"/>
      <x:c r="M26" s="4"/>
      <x:c r="N26" s="4"/>
      <x:c r="O26" s="4"/>
      <x:c r="P26" s="4"/>
      <x:c r="Q26" s="4"/>
      <x:c r="R26" s="4"/>
      <x:c r="S26" s="4"/>
    </x:row>
    <x:row r="28" ht="42" customHeight="1">
      <x:c r="A28" s="31" t="str">
        <x:v>工作日</x:v>
      </x:c>
      <x:c r="B28" s="31" t="str">
        <x:v>周次</x:v>
      </x:c>
      <x:c r="C28" s="31" t="str">
        <x:v>R01人时</x:v>
      </x:c>
      <x:c r="D28" s="31" t="str">
        <x:v>R02人时</x:v>
      </x:c>
      <x:c r="E28" s="31" t="str">
        <x:v>R03人时</x:v>
      </x:c>
      <x:c r="F28" s="31" t="str">
        <x:v>R04人时</x:v>
      </x:c>
      <x:c r="G28" s="31" t="str">
        <x:v>团队人时</x:v>
      </x:c>
      <x:c r="H28" s="31" t="str">
        <x:v>逐日负荷</x:v>
      </x:c>
    </x:row>
    <x:row r="29" ht="58" customHeight="1">
      <x:c r="A29" s="42" t="n">
        <x:f>WORKDAY('项目总表'!$B$15-1,1)</x:f>
        <x:v>46314</x:v>
      </x:c>
      <x:c r="B29" s="29" t="n">
        <x:f>INT((A29-'项目总表'!$B$15)/7)+1</x:f>
        <x:v>1</x:v>
      </x:c>
      <x:c r="C29" s="33" t="n">
        <x:f>SUMIFS('任务与甘特'!$AH$7:$AH$50,'任务与甘特'!$T$7:$T$50,"&lt;="&amp;$A29,'任务与甘特'!$U$7:$U$50,"&gt;="&amp;$A29)</x:f>
        <x:v>8</x:v>
      </x:c>
      <x:c r="D29" s="33" t="n">
        <x:f>SUMIFS('任务与甘特'!$AI$7:$AI$50,'任务与甘特'!$T$7:$T$50,"&lt;="&amp;$A29,'任务与甘特'!$U$7:$U$50,"&gt;="&amp;$A29)</x:f>
        <x:v>4</x:v>
      </x:c>
      <x:c r="E29" s="33" t="n">
        <x:f>SUMIFS('任务与甘特'!$AJ$7:$AJ$50,'任务与甘特'!$T$7:$T$50,"&lt;="&amp;$A29,'任务与甘特'!$U$7:$U$50,"&gt;="&amp;$A29)</x:f>
        <x:v>4</x:v>
      </x:c>
      <x:c r="F29" s="33" t="n">
        <x:f>SUMIFS('任务与甘特'!$AK$7:$AK$50,'任务与甘特'!$T$7:$T$50,"&lt;="&amp;$A29,'任务与甘特'!$U$7:$U$50,"&gt;="&amp;$A29)</x:f>
        <x:v>4</x:v>
      </x:c>
      <x:c r="G29" s="33" t="n">
        <x:f>SUM(C29:F29)</x:f>
        <x:v>20</x:v>
      </x:c>
      <x:c r="H29" s="29" t="str">
        <x:f>IF(MAX(C29:F29)&gt;'项目总表'!$B$55+0.000001,"超负荷","未超上限")</x:f>
        <x:v>未超上限</x:v>
      </x:c>
    </x:row>
    <x:row r="30" ht="58" customHeight="1">
      <x:c r="A30" s="42" t="n">
        <x:f>WORKDAY('项目总表'!$B$15-1,2)</x:f>
        <x:v>46315</x:v>
      </x:c>
      <x:c r="B30" s="29" t="n">
        <x:f>INT((A30-'项目总表'!$B$15)/7)+1</x:f>
        <x:v>1</x:v>
      </x:c>
      <x:c r="C30" s="33" t="n">
        <x:f>SUMIFS('任务与甘特'!$AH$7:$AH$50,'任务与甘特'!$T$7:$T$50,"&lt;="&amp;$A30,'任务与甘特'!$U$7:$U$50,"&gt;="&amp;$A30)</x:f>
        <x:v>7.666666666666667</x:v>
      </x:c>
      <x:c r="D30" s="33" t="n">
        <x:f>SUMIFS('任务与甘特'!$AI$7:$AI$50,'任务与甘特'!$T$7:$T$50,"&lt;="&amp;$A30,'任务与甘特'!$U$7:$U$50,"&gt;="&amp;$A30)</x:f>
        <x:v>6</x:v>
      </x:c>
      <x:c r="E30" s="33" t="n">
        <x:f>SUMIFS('任务与甘特'!$AJ$7:$AJ$50,'任务与甘特'!$T$7:$T$50,"&lt;="&amp;$A30,'任务与甘特'!$U$7:$U$50,"&gt;="&amp;$A30)</x:f>
        <x:v>3</x:v>
      </x:c>
      <x:c r="F30" s="33" t="n">
        <x:f>SUMIFS('任务与甘特'!$AK$7:$AK$50,'任务与甘特'!$T$7:$T$50,"&lt;="&amp;$A30,'任务与甘特'!$U$7:$U$50,"&gt;="&amp;$A30)</x:f>
        <x:v>7.333333333333333</x:v>
      </x:c>
      <x:c r="G30" s="33" t="n">
        <x:f>SUM(C30:F30)</x:f>
        <x:v>24</x:v>
      </x:c>
      <x:c r="H30" s="29" t="str">
        <x:f>IF(MAX(C30:F30)&gt;'项目总表'!$B$55+0.000001,"超负荷","未超上限")</x:f>
        <x:v>未超上限</x:v>
      </x:c>
    </x:row>
    <x:row r="31" ht="58" customHeight="1">
      <x:c r="A31" s="42" t="n">
        <x:f>WORKDAY('项目总表'!$B$15-1,3)</x:f>
        <x:v>46316</x:v>
      </x:c>
      <x:c r="B31" s="29" t="n">
        <x:f>INT((A31-'项目总表'!$B$15)/7)+1</x:f>
        <x:v>1</x:v>
      </x:c>
      <x:c r="C31" s="33" t="n">
        <x:f>SUMIFS('任务与甘特'!$AH$7:$AH$50,'任务与甘特'!$T$7:$T$50,"&lt;="&amp;$A31,'任务与甘特'!$U$7:$U$50,"&gt;="&amp;$A31)</x:f>
        <x:v>7.666666666666667</x:v>
      </x:c>
      <x:c r="D31" s="33" t="n">
        <x:f>SUMIFS('任务与甘特'!$AI$7:$AI$50,'任务与甘特'!$T$7:$T$50,"&lt;="&amp;$A31,'任务与甘特'!$U$7:$U$50,"&gt;="&amp;$A31)</x:f>
        <x:v>6</x:v>
      </x:c>
      <x:c r="E31" s="33" t="n">
        <x:f>SUMIFS('任务与甘特'!$AJ$7:$AJ$50,'任务与甘特'!$T$7:$T$50,"&lt;="&amp;$A31,'任务与甘特'!$U$7:$U$50,"&gt;="&amp;$A31)</x:f>
        <x:v>3</x:v>
      </x:c>
      <x:c r="F31" s="33" t="n">
        <x:f>SUMIFS('任务与甘特'!$AK$7:$AK$50,'任务与甘特'!$T$7:$T$50,"&lt;="&amp;$A31,'任务与甘特'!$U$7:$U$50,"&gt;="&amp;$A31)</x:f>
        <x:v>7.333333333333333</x:v>
      </x:c>
      <x:c r="G31" s="33" t="n">
        <x:f>SUM(C31:F31)</x:f>
        <x:v>24</x:v>
      </x:c>
      <x:c r="H31" s="29" t="str">
        <x:f>IF(MAX(C31:F31)&gt;'项目总表'!$B$55+0.000001,"超负荷","未超上限")</x:f>
        <x:v>未超上限</x:v>
      </x:c>
    </x:row>
    <x:row r="32" ht="58" customHeight="1">
      <x:c r="A32" s="42" t="n">
        <x:f>WORKDAY('项目总表'!$B$15-1,4)</x:f>
        <x:v>46317</x:v>
      </x:c>
      <x:c r="B32" s="29" t="n">
        <x:f>INT((A32-'项目总表'!$B$15)/7)+1</x:f>
        <x:v>1</x:v>
      </x:c>
      <x:c r="C32" s="33" t="n">
        <x:f>SUMIFS('任务与甘特'!$AH$7:$AH$50,'任务与甘特'!$T$7:$T$50,"&lt;="&amp;$A32,'任务与甘特'!$U$7:$U$50,"&gt;="&amp;$A32)</x:f>
        <x:v>6.666666666666666</x:v>
      </x:c>
      <x:c r="D32" s="33" t="n">
        <x:f>SUMIFS('任务与甘特'!$AI$7:$AI$50,'任务与甘特'!$T$7:$T$50,"&lt;="&amp;$A32,'任务与甘特'!$U$7:$U$50,"&gt;="&amp;$A32)</x:f>
        <x:v>7</x:v>
      </x:c>
      <x:c r="E32" s="33" t="n">
        <x:f>SUMIFS('任务与甘特'!$AJ$7:$AJ$50,'任务与甘特'!$T$7:$T$50,"&lt;="&amp;$A32,'任务与甘特'!$U$7:$U$50,"&gt;="&amp;$A32)</x:f>
        <x:v>2</x:v>
      </x:c>
      <x:c r="F32" s="33" t="n">
        <x:f>SUMIFS('任务与甘特'!$AK$7:$AK$50,'任务与甘特'!$T$7:$T$50,"&lt;="&amp;$A32,'任务与甘特'!$U$7:$U$50,"&gt;="&amp;$A32)</x:f>
        <x:v>7.333333333333333</x:v>
      </x:c>
      <x:c r="G32" s="33" t="n">
        <x:f>SUM(C32:F32)</x:f>
        <x:v>23</x:v>
      </x:c>
      <x:c r="H32" s="29" t="str">
        <x:f>IF(MAX(C32:F32)&gt;'项目总表'!$B$55+0.000001,"超负荷","未超上限")</x:f>
        <x:v>未超上限</x:v>
      </x:c>
    </x:row>
    <x:row r="33" ht="58" customHeight="1">
      <x:c r="A33" s="42" t="n">
        <x:f>WORKDAY('项目总表'!$B$15-1,5)</x:f>
        <x:v>46318</x:v>
      </x:c>
      <x:c r="B33" s="29" t="n">
        <x:f>INT((A33-'项目总表'!$B$15)/7)+1</x:f>
        <x:v>1</x:v>
      </x:c>
      <x:c r="C33" s="33" t="n">
        <x:f>SUMIFS('任务与甘特'!$AH$7:$AH$50,'任务与甘特'!$T$7:$T$50,"&lt;="&amp;$A33,'任务与甘特'!$U$7:$U$50,"&gt;="&amp;$A33)</x:f>
        <x:v>6</x:v>
      </x:c>
      <x:c r="D33" s="33" t="n">
        <x:f>SUMIFS('任务与甘特'!$AI$7:$AI$50,'任务与甘特'!$T$7:$T$50,"&lt;="&amp;$A33,'任务与甘特'!$U$7:$U$50,"&gt;="&amp;$A33)</x:f>
        <x:v>7</x:v>
      </x:c>
      <x:c r="E33" s="33" t="n">
        <x:f>SUMIFS('任务与甘特'!$AJ$7:$AJ$50,'任务与甘特'!$T$7:$T$50,"&lt;="&amp;$A33,'任务与甘特'!$U$7:$U$50,"&gt;="&amp;$A33)</x:f>
        <x:v>4</x:v>
      </x:c>
      <x:c r="F33" s="33" t="n">
        <x:f>SUMIFS('任务与甘特'!$AK$7:$AK$50,'任务与甘特'!$T$7:$T$50,"&lt;="&amp;$A33,'任务与甘特'!$U$7:$U$50,"&gt;="&amp;$A33)</x:f>
        <x:v>8</x:v>
      </x:c>
      <x:c r="G33" s="33" t="n">
        <x:f>SUM(C33:F33)</x:f>
        <x:v>25</x:v>
      </x:c>
      <x:c r="H33" s="29" t="str">
        <x:f>IF(MAX(C33:F33)&gt;'项目总表'!$B$55+0.000001,"超负荷","未超上限")</x:f>
        <x:v>未超上限</x:v>
      </x:c>
    </x:row>
    <x:row r="34" ht="58" customHeight="1">
      <x:c r="A34" s="42" t="n">
        <x:f>WORKDAY('项目总表'!$B$15-1,6)</x:f>
        <x:v>46321</x:v>
      </x:c>
      <x:c r="B34" s="29" t="n">
        <x:f>INT((A34-'项目总表'!$B$15)/7)+1</x:f>
        <x:v>2</x:v>
      </x:c>
      <x:c r="C34" s="33" t="n">
        <x:f>SUMIFS('任务与甘特'!$AH$7:$AH$50,'任务与甘特'!$T$7:$T$50,"&lt;="&amp;$A34,'任务与甘特'!$U$7:$U$50,"&gt;="&amp;$A34)</x:f>
        <x:v>3</x:v>
      </x:c>
      <x:c r="D34" s="33" t="n">
        <x:f>SUMIFS('任务与甘特'!$AI$7:$AI$50,'任务与甘特'!$T$7:$T$50,"&lt;="&amp;$A34,'任务与甘特'!$U$7:$U$50,"&gt;="&amp;$A34)</x:f>
        <x:v>1.3333333333333333</x:v>
      </x:c>
      <x:c r="E34" s="33" t="n">
        <x:f>SUMIFS('任务与甘特'!$AJ$7:$AJ$50,'任务与甘特'!$T$7:$T$50,"&lt;="&amp;$A34,'任务与甘特'!$U$7:$U$50,"&gt;="&amp;$A34)</x:f>
        <x:v>2</x:v>
      </x:c>
      <x:c r="F34" s="33" t="n">
        <x:f>SUMIFS('任务与甘特'!$AK$7:$AK$50,'任务与甘特'!$T$7:$T$50,"&lt;="&amp;$A34,'任务与甘特'!$U$7:$U$50,"&gt;="&amp;$A34)</x:f>
        <x:v>6</x:v>
      </x:c>
      <x:c r="G34" s="33" t="n">
        <x:f>SUM(C34:F34)</x:f>
        <x:v>12.333333333333332</x:v>
      </x:c>
      <x:c r="H34" s="29" t="str">
        <x:f>IF(MAX(C34:F34)&gt;'项目总表'!$B$55+0.000001,"超负荷","未超上限")</x:f>
        <x:v>未超上限</x:v>
      </x:c>
    </x:row>
    <x:row r="35" ht="58" customHeight="1">
      <x:c r="A35" s="42" t="n">
        <x:f>WORKDAY('项目总表'!$B$15-1,7)</x:f>
        <x:v>46322</x:v>
      </x:c>
      <x:c r="B35" s="29" t="n">
        <x:f>INT((A35-'项目总表'!$B$15)/7)+1</x:f>
        <x:v>2</x:v>
      </x:c>
      <x:c r="C35" s="33" t="n">
        <x:f>SUMIFS('任务与甘特'!$AH$7:$AH$50,'任务与甘特'!$T$7:$T$50,"&lt;="&amp;$A35,'任务与甘特'!$U$7:$U$50,"&gt;="&amp;$A35)</x:f>
        <x:v>6.666666666666667</x:v>
      </x:c>
      <x:c r="D35" s="33" t="n">
        <x:f>SUMIFS('任务与甘特'!$AI$7:$AI$50,'任务与甘特'!$T$7:$T$50,"&lt;="&amp;$A35,'任务与甘特'!$U$7:$U$50,"&gt;="&amp;$A35)</x:f>
        <x:v>6.666666666666666</x:v>
      </x:c>
      <x:c r="E35" s="33" t="n">
        <x:f>SUMIFS('任务与甘特'!$AJ$7:$AJ$50,'任务与甘特'!$T$7:$T$50,"&lt;="&amp;$A35,'任务与甘特'!$U$7:$U$50,"&gt;="&amp;$A35)</x:f>
        <x:v>2.833333333333333</x:v>
      </x:c>
      <x:c r="F35" s="33" t="n">
        <x:f>SUMIFS('任务与甘特'!$AK$7:$AK$50,'任务与甘特'!$T$7:$T$50,"&lt;="&amp;$A35,'任务与甘特'!$U$7:$U$50,"&gt;="&amp;$A35)</x:f>
        <x:v>4</x:v>
      </x:c>
      <x:c r="G35" s="33" t="n">
        <x:f>SUM(C35:F35)</x:f>
        <x:v>20.166666666666664</x:v>
      </x:c>
      <x:c r="H35" s="29" t="str">
        <x:f>IF(MAX(C35:F35)&gt;'项目总表'!$B$55+0.000001,"超负荷","未超上限")</x:f>
        <x:v>未超上限</x:v>
      </x:c>
    </x:row>
    <x:row r="36" ht="58" customHeight="1">
      <x:c r="A36" s="42" t="n">
        <x:f>WORKDAY('项目总表'!$B$15-1,8)</x:f>
        <x:v>46323</x:v>
      </x:c>
      <x:c r="B36" s="29" t="n">
        <x:f>INT((A36-'项目总表'!$B$15)/7)+1</x:f>
        <x:v>2</x:v>
      </x:c>
      <x:c r="C36" s="33" t="n">
        <x:f>SUMIFS('任务与甘特'!$AH$7:$AH$50,'任务与甘特'!$T$7:$T$50,"&lt;="&amp;$A36,'任务与甘特'!$U$7:$U$50,"&gt;="&amp;$A36)</x:f>
        <x:v>6.666666666666667</x:v>
      </x:c>
      <x:c r="D36" s="33" t="n">
        <x:f>SUMIFS('任务与甘特'!$AI$7:$AI$50,'任务与甘特'!$T$7:$T$50,"&lt;="&amp;$A36,'任务与甘特'!$U$7:$U$50,"&gt;="&amp;$A36)</x:f>
        <x:v>6.666666666666666</x:v>
      </x:c>
      <x:c r="E36" s="33" t="n">
        <x:f>SUMIFS('任务与甘特'!$AJ$7:$AJ$50,'任务与甘特'!$T$7:$T$50,"&lt;="&amp;$A36,'任务与甘特'!$U$7:$U$50,"&gt;="&amp;$A36)</x:f>
        <x:v>2.833333333333333</x:v>
      </x:c>
      <x:c r="F36" s="33" t="n">
        <x:f>SUMIFS('任务与甘特'!$AK$7:$AK$50,'任务与甘特'!$T$7:$T$50,"&lt;="&amp;$A36,'任务与甘特'!$U$7:$U$50,"&gt;="&amp;$A36)</x:f>
        <x:v>4</x:v>
      </x:c>
      <x:c r="G36" s="33" t="n">
        <x:f>SUM(C36:F36)</x:f>
        <x:v>20.166666666666664</x:v>
      </x:c>
      <x:c r="H36" s="29" t="str">
        <x:f>IF(MAX(C36:F36)&gt;'项目总表'!$B$55+0.000001,"超负荷","未超上限")</x:f>
        <x:v>未超上限</x:v>
      </x:c>
    </x:row>
    <x:row r="37" ht="58" customHeight="1">
      <x:c r="A37" s="42" t="n">
        <x:f>WORKDAY('项目总表'!$B$15-1,9)</x:f>
        <x:v>46324</x:v>
      </x:c>
      <x:c r="B37" s="29" t="n">
        <x:f>INT((A37-'项目总表'!$B$15)/7)+1</x:f>
        <x:v>2</x:v>
      </x:c>
      <x:c r="C37" s="33" t="n">
        <x:f>SUMIFS('任务与甘特'!$AH$7:$AH$50,'任务与甘特'!$T$7:$T$50,"&lt;="&amp;$A37,'任务与甘特'!$U$7:$U$50,"&gt;="&amp;$A37)</x:f>
        <x:v>4.666666666666667</x:v>
      </x:c>
      <x:c r="D37" s="33" t="n">
        <x:f>SUMIFS('任务与甘特'!$AI$7:$AI$50,'任务与甘特'!$T$7:$T$50,"&lt;="&amp;$A37,'任务与甘特'!$U$7:$U$50,"&gt;="&amp;$A37)</x:f>
        <x:v>2.333333333333333</x:v>
      </x:c>
      <x:c r="E37" s="33" t="n">
        <x:f>SUMIFS('任务与甘特'!$AJ$7:$AJ$50,'任务与甘特'!$T$7:$T$50,"&lt;="&amp;$A37,'任务与甘特'!$U$7:$U$50,"&gt;="&amp;$A37)</x:f>
        <x:v>1.3333333333333333</x:v>
      </x:c>
      <x:c r="F37" s="33" t="n">
        <x:f>SUMIFS('任务与甘特'!$AK$7:$AK$50,'任务与甘特'!$T$7:$T$50,"&lt;="&amp;$A37,'任务与甘特'!$U$7:$U$50,"&gt;="&amp;$A37)</x:f>
        <x:v>4</x:v>
      </x:c>
      <x:c r="G37" s="33" t="n">
        <x:f>SUM(C37:F37)</x:f>
        <x:v>12.333333333333334</x:v>
      </x:c>
      <x:c r="H37" s="29" t="str">
        <x:f>IF(MAX(C37:F37)&gt;'项目总表'!$B$55+0.000001,"超负荷","未超上限")</x:f>
        <x:v>未超上限</x:v>
      </x:c>
    </x:row>
    <x:row r="38" ht="58" customHeight="1">
      <x:c r="A38" s="42" t="n">
        <x:f>WORKDAY('项目总表'!$B$15-1,10)</x:f>
        <x:v>46325</x:v>
      </x:c>
      <x:c r="B38" s="29" t="n">
        <x:f>INT((A38-'项目总表'!$B$15)/7)+1</x:f>
        <x:v>2</x:v>
      </x:c>
      <x:c r="C38" s="33" t="n">
        <x:f>SUMIFS('任务与甘特'!$AH$7:$AH$50,'任务与甘特'!$T$7:$T$50,"&lt;="&amp;$A38,'任务与甘特'!$U$7:$U$50,"&gt;="&amp;$A38)</x:f>
        <x:v>5.5</x:v>
      </x:c>
      <x:c r="D38" s="33" t="n">
        <x:f>SUMIFS('任务与甘特'!$AI$7:$AI$50,'任务与甘特'!$T$7:$T$50,"&lt;="&amp;$A38,'任务与甘特'!$U$7:$U$50,"&gt;="&amp;$A38)</x:f>
        <x:v>7.5</x:v>
      </x:c>
      <x:c r="E38" s="33" t="n">
        <x:f>SUMIFS('任务与甘特'!$AJ$7:$AJ$50,'任务与甘特'!$T$7:$T$50,"&lt;="&amp;$A38,'任务与甘特'!$U$7:$U$50,"&gt;="&amp;$A38)</x:f>
        <x:v>6.5</x:v>
      </x:c>
      <x:c r="F38" s="33" t="n">
        <x:f>SUMIFS('任务与甘特'!$AK$7:$AK$50,'任务与甘特'!$T$7:$T$50,"&lt;="&amp;$A38,'任务与甘特'!$U$7:$U$50,"&gt;="&amp;$A38)</x:f>
        <x:v>6.166666666666666</x:v>
      </x:c>
      <x:c r="G38" s="33" t="n">
        <x:f>SUM(C38:F38)</x:f>
        <x:v>25.666666666666664</x:v>
      </x:c>
      <x:c r="H38" s="29" t="str">
        <x:f>IF(MAX(C38:F38)&gt;'项目总表'!$B$55+0.000001,"超负荷","未超上限")</x:f>
        <x:v>未超上限</x:v>
      </x:c>
    </x:row>
    <x:row r="39" ht="58" customHeight="1">
      <x:c r="A39" s="42" t="n">
        <x:f>WORKDAY('项目总表'!$B$15-1,11)</x:f>
        <x:v>46328</x:v>
      </x:c>
      <x:c r="B39" s="29" t="n">
        <x:f>INT((A39-'项目总表'!$B$15)/7)+1</x:f>
        <x:v>3</x:v>
      </x:c>
      <x:c r="C39" s="33" t="n">
        <x:f>SUMIFS('任务与甘特'!$AH$7:$AH$50,'任务与甘特'!$T$7:$T$50,"&lt;="&amp;$A39,'任务与甘特'!$U$7:$U$50,"&gt;="&amp;$A39)</x:f>
        <x:v>5.5</x:v>
      </x:c>
      <x:c r="D39" s="33" t="n">
        <x:f>SUMIFS('任务与甘特'!$AI$7:$AI$50,'任务与甘特'!$T$7:$T$50,"&lt;="&amp;$A39,'任务与甘特'!$U$7:$U$50,"&gt;="&amp;$A39)</x:f>
        <x:v>7.5</x:v>
      </x:c>
      <x:c r="E39" s="33" t="n">
        <x:f>SUMIFS('任务与甘特'!$AJ$7:$AJ$50,'任务与甘特'!$T$7:$T$50,"&lt;="&amp;$A39,'任务与甘特'!$U$7:$U$50,"&gt;="&amp;$A39)</x:f>
        <x:v>6.5</x:v>
      </x:c>
      <x:c r="F39" s="33" t="n">
        <x:f>SUMIFS('任务与甘特'!$AK$7:$AK$50,'任务与甘特'!$T$7:$T$50,"&lt;="&amp;$A39,'任务与甘特'!$U$7:$U$50,"&gt;="&amp;$A39)</x:f>
        <x:v>6.166666666666666</x:v>
      </x:c>
      <x:c r="G39" s="33" t="n">
        <x:f>SUM(C39:F39)</x:f>
        <x:v>25.666666666666664</x:v>
      </x:c>
      <x:c r="H39" s="29" t="str">
        <x:f>IF(MAX(C39:F39)&gt;'项目总表'!$B$55+0.000001,"超负荷","未超上限")</x:f>
        <x:v>未超上限</x:v>
      </x:c>
    </x:row>
    <x:row r="40" ht="58" customHeight="1">
      <x:c r="A40" s="42" t="n">
        <x:f>WORKDAY('项目总表'!$B$15-1,12)</x:f>
        <x:v>46329</x:v>
      </x:c>
      <x:c r="B40" s="29" t="n">
        <x:f>INT((A40-'项目总表'!$B$15)/7)+1</x:f>
        <x:v>3</x:v>
      </x:c>
      <x:c r="C40" s="33" t="n">
        <x:f>SUMIFS('任务与甘特'!$AH$7:$AH$50,'任务与甘特'!$T$7:$T$50,"&lt;="&amp;$A40,'任务与甘特'!$U$7:$U$50,"&gt;="&amp;$A40)</x:f>
        <x:v>5.333333333333334</x:v>
      </x:c>
      <x:c r="D40" s="33" t="n">
        <x:f>SUMIFS('任务与甘特'!$AI$7:$AI$50,'任务与甘特'!$T$7:$T$50,"&lt;="&amp;$A40,'任务与甘特'!$U$7:$U$50,"&gt;="&amp;$A40)</x:f>
        <x:v>6</x:v>
      </x:c>
      <x:c r="E40" s="33" t="n">
        <x:f>SUMIFS('任务与甘特'!$AJ$7:$AJ$50,'任务与甘特'!$T$7:$T$50,"&lt;="&amp;$A40,'任务与甘特'!$U$7:$U$50,"&gt;="&amp;$A40)</x:f>
        <x:v>6</x:v>
      </x:c>
      <x:c r="F40" s="33" t="n">
        <x:f>SUMIFS('任务与甘特'!$AK$7:$AK$50,'任务与甘特'!$T$7:$T$50,"&lt;="&amp;$A40,'任务与甘特'!$U$7:$U$50,"&gt;="&amp;$A40)</x:f>
        <x:v>1.3333333333333333</x:v>
      </x:c>
      <x:c r="G40" s="33" t="n">
        <x:f>SUM(C40:F40)</x:f>
        <x:v>18.666666666666668</x:v>
      </x:c>
      <x:c r="H40" s="29" t="str">
        <x:f>IF(MAX(C40:F40)&gt;'项目总表'!$B$55+0.000001,"超负荷","未超上限")</x:f>
        <x:v>未超上限</x:v>
      </x:c>
    </x:row>
    <x:row r="41" ht="58" customHeight="1">
      <x:c r="A41" s="42" t="n">
        <x:f>WORKDAY('项目总表'!$B$15-1,13)</x:f>
        <x:v>46330</x:v>
      </x:c>
      <x:c r="B41" s="29" t="n">
        <x:f>INT((A41-'项目总表'!$B$15)/7)+1</x:f>
        <x:v>3</x:v>
      </x:c>
      <x:c r="C41" s="33" t="n">
        <x:f>SUMIFS('任务与甘特'!$AH$7:$AH$50,'任务与甘特'!$T$7:$T$50,"&lt;="&amp;$A41,'任务与甘特'!$U$7:$U$50,"&gt;="&amp;$A41)</x:f>
        <x:v>5.833333333333334</x:v>
      </x:c>
      <x:c r="D41" s="33" t="n">
        <x:f>SUMIFS('任务与甘特'!$AI$7:$AI$50,'任务与甘特'!$T$7:$T$50,"&lt;="&amp;$A41,'任务与甘特'!$U$7:$U$50,"&gt;="&amp;$A41)</x:f>
        <x:v>6</x:v>
      </x:c>
      <x:c r="E41" s="33" t="n">
        <x:f>SUMIFS('任务与甘特'!$AJ$7:$AJ$50,'任务与甘特'!$T$7:$T$50,"&lt;="&amp;$A41,'任务与甘特'!$U$7:$U$50,"&gt;="&amp;$A41)</x:f>
        <x:v>6</x:v>
      </x:c>
      <x:c r="F41" s="33" t="n">
        <x:f>SUMIFS('任务与甘特'!$AK$7:$AK$50,'任务与甘特'!$T$7:$T$50,"&lt;="&amp;$A41,'任务与甘特'!$U$7:$U$50,"&gt;="&amp;$A41)</x:f>
        <x:v>1.6666666666666665</x:v>
      </x:c>
      <x:c r="G41" s="33" t="n">
        <x:f>SUM(C41:F41)</x:f>
        <x:v>19.500000000000004</x:v>
      </x:c>
      <x:c r="H41" s="29" t="str">
        <x:f>IF(MAX(C41:F41)&gt;'项目总表'!$B$55+0.000001,"超负荷","未超上限")</x:f>
        <x:v>未超上限</x:v>
      </x:c>
    </x:row>
    <x:row r="42" ht="58" customHeight="1">
      <x:c r="A42" s="42" t="n">
        <x:f>WORKDAY('项目总表'!$B$15-1,14)</x:f>
        <x:v>46331</x:v>
      </x:c>
      <x:c r="B42" s="29" t="n">
        <x:f>INT((A42-'项目总表'!$B$15)/7)+1</x:f>
        <x:v>3</x:v>
      </x:c>
      <x:c r="C42" s="33" t="n">
        <x:f>SUMIFS('任务与甘特'!$AH$7:$AH$50,'任务与甘特'!$T$7:$T$50,"&lt;="&amp;$A42,'任务与甘特'!$U$7:$U$50,"&gt;="&amp;$A42)</x:f>
        <x:v>5.833333333333334</x:v>
      </x:c>
      <x:c r="D42" s="33" t="n">
        <x:f>SUMIFS('任务与甘特'!$AI$7:$AI$50,'任务与甘特'!$T$7:$T$50,"&lt;="&amp;$A42,'任务与甘特'!$U$7:$U$50,"&gt;="&amp;$A42)</x:f>
        <x:v>6</x:v>
      </x:c>
      <x:c r="E42" s="33" t="n">
        <x:f>SUMIFS('任务与甘特'!$AJ$7:$AJ$50,'任务与甘特'!$T$7:$T$50,"&lt;="&amp;$A42,'任务与甘特'!$U$7:$U$50,"&gt;="&amp;$A42)</x:f>
        <x:v>6</x:v>
      </x:c>
      <x:c r="F42" s="33" t="n">
        <x:f>SUMIFS('任务与甘特'!$AK$7:$AK$50,'任务与甘特'!$T$7:$T$50,"&lt;="&amp;$A42,'任务与甘特'!$U$7:$U$50,"&gt;="&amp;$A42)</x:f>
        <x:v>1.6666666666666665</x:v>
      </x:c>
      <x:c r="G42" s="33" t="n">
        <x:f>SUM(C42:F42)</x:f>
        <x:v>19.500000000000004</x:v>
      </x:c>
      <x:c r="H42" s="29" t="str">
        <x:f>IF(MAX(C42:F42)&gt;'项目总表'!$B$55+0.000001,"超负荷","未超上限")</x:f>
        <x:v>未超上限</x:v>
      </x:c>
    </x:row>
    <x:row r="43" ht="58" customHeight="1">
      <x:c r="A43" s="42" t="n">
        <x:f>WORKDAY('项目总表'!$B$15-1,15)</x:f>
        <x:v>46332</x:v>
      </x:c>
      <x:c r="B43" s="29" t="n">
        <x:f>INT((A43-'项目总表'!$B$15)/7)+1</x:f>
        <x:v>3</x:v>
      </x:c>
      <x:c r="C43" s="33" t="n">
        <x:f>SUMIFS('任务与甘特'!$AH$7:$AH$50,'任务与甘特'!$T$7:$T$50,"&lt;="&amp;$A43,'任务与甘特'!$U$7:$U$50,"&gt;="&amp;$A43)</x:f>
        <x:v>5</x:v>
      </x:c>
      <x:c r="D43" s="33" t="n">
        <x:f>SUMIFS('任务与甘特'!$AI$7:$AI$50,'任务与甘特'!$T$7:$T$50,"&lt;="&amp;$A43,'任务与甘特'!$U$7:$U$50,"&gt;="&amp;$A43)</x:f>
        <x:v>5</x:v>
      </x:c>
      <x:c r="E43" s="33" t="n">
        <x:f>SUMIFS('任务与甘特'!$AJ$7:$AJ$50,'任务与甘特'!$T$7:$T$50,"&lt;="&amp;$A43,'任务与甘特'!$U$7:$U$50,"&gt;="&amp;$A43)</x:f>
        <x:v>5</x:v>
      </x:c>
      <x:c r="F43" s="33" t="n">
        <x:f>SUMIFS('任务与甘特'!$AK$7:$AK$50,'任务与甘特'!$T$7:$T$50,"&lt;="&amp;$A43,'任务与甘特'!$U$7:$U$50,"&gt;="&amp;$A43)</x:f>
        <x:v>2</x:v>
      </x:c>
      <x:c r="G43" s="33" t="n">
        <x:f>SUM(C43:F43)</x:f>
        <x:v>17</x:v>
      </x:c>
      <x:c r="H43" s="29" t="str">
        <x:f>IF(MAX(C43:F43)&gt;'项目总表'!$B$55+0.000001,"超负荷","未超上限")</x:f>
        <x:v>未超上限</x:v>
      </x:c>
    </x:row>
    <x:row r="44" ht="58" customHeight="1">
      <x:c r="A44" s="42" t="n">
        <x:f>WORKDAY('项目总表'!$B$15-1,16)</x:f>
        <x:v>46335</x:v>
      </x:c>
      <x:c r="B44" s="29" t="n">
        <x:f>INT((A44-'项目总表'!$B$15)/7)+1</x:f>
        <x:v>4</x:v>
      </x:c>
      <x:c r="C44" s="33" t="n">
        <x:f>SUMIFS('任务与甘特'!$AH$7:$AH$50,'任务与甘特'!$T$7:$T$50,"&lt;="&amp;$A44,'任务与甘特'!$U$7:$U$50,"&gt;="&amp;$A44)</x:f>
        <x:v>5</x:v>
      </x:c>
      <x:c r="D44" s="33" t="n">
        <x:f>SUMIFS('任务与甘特'!$AI$7:$AI$50,'任务与甘特'!$T$7:$T$50,"&lt;="&amp;$A44,'任务与甘特'!$U$7:$U$50,"&gt;="&amp;$A44)</x:f>
        <x:v>7</x:v>
      </x:c>
      <x:c r="E44" s="33" t="n">
        <x:f>SUMIFS('任务与甘特'!$AJ$7:$AJ$50,'任务与甘特'!$T$7:$T$50,"&lt;="&amp;$A44,'任务与甘特'!$U$7:$U$50,"&gt;="&amp;$A44)</x:f>
        <x:v>8</x:v>
      </x:c>
      <x:c r="F44" s="33" t="n">
        <x:f>SUMIFS('任务与甘特'!$AK$7:$AK$50,'任务与甘特'!$T$7:$T$50,"&lt;="&amp;$A44,'任务与甘特'!$U$7:$U$50,"&gt;="&amp;$A44)</x:f>
        <x:v>4</x:v>
      </x:c>
      <x:c r="G44" s="33" t="n">
        <x:f>SUM(C44:F44)</x:f>
        <x:v>24</x:v>
      </x:c>
      <x:c r="H44" s="29" t="str">
        <x:f>IF(MAX(C44:F44)&gt;'项目总表'!$B$55+0.000001,"超负荷","未超上限")</x:f>
        <x:v>未超上限</x:v>
      </x:c>
    </x:row>
    <x:row r="45" ht="58" customHeight="1">
      <x:c r="A45" s="42" t="n">
        <x:f>WORKDAY('项目总表'!$B$15-1,17)</x:f>
        <x:v>46336</x:v>
      </x:c>
      <x:c r="B45" s="29" t="n">
        <x:f>INT((A45-'项目总表'!$B$15)/7)+1</x:f>
        <x:v>4</x:v>
      </x:c>
      <x:c r="C45" s="33" t="n">
        <x:f>SUMIFS('任务与甘特'!$AH$7:$AH$50,'任务与甘特'!$T$7:$T$50,"&lt;="&amp;$A45,'任务与甘特'!$U$7:$U$50,"&gt;="&amp;$A45)</x:f>
        <x:v>6</x:v>
      </x:c>
      <x:c r="D45" s="33" t="n">
        <x:f>SUMIFS('任务与甘特'!$AI$7:$AI$50,'任务与甘特'!$T$7:$T$50,"&lt;="&amp;$A45,'任务与甘特'!$U$7:$U$50,"&gt;="&amp;$A45)</x:f>
        <x:v>8</x:v>
      </x:c>
      <x:c r="E45" s="33" t="n">
        <x:f>SUMIFS('任务与甘特'!$AJ$7:$AJ$50,'任务与甘特'!$T$7:$T$50,"&lt;="&amp;$A45,'任务与甘特'!$U$7:$U$50,"&gt;="&amp;$A45)</x:f>
        <x:v>7</x:v>
      </x:c>
      <x:c r="F45" s="33" t="n">
        <x:f>SUMIFS('任务与甘特'!$AK$7:$AK$50,'任务与甘特'!$T$7:$T$50,"&lt;="&amp;$A45,'任务与甘特'!$U$7:$U$50,"&gt;="&amp;$A45)</x:f>
        <x:v>4</x:v>
      </x:c>
      <x:c r="G45" s="33" t="n">
        <x:f>SUM(C45:F45)</x:f>
        <x:v>25</x:v>
      </x:c>
      <x:c r="H45" s="29" t="str">
        <x:f>IF(MAX(C45:F45)&gt;'项目总表'!$B$55+0.000001,"超负荷","未超上限")</x:f>
        <x:v>未超上限</x:v>
      </x:c>
    </x:row>
    <x:row r="46" ht="58" customHeight="1">
      <x:c r="A46" s="42" t="n">
        <x:f>WORKDAY('项目总表'!$B$15-1,18)</x:f>
        <x:v>46337</x:v>
      </x:c>
      <x:c r="B46" s="29" t="n">
        <x:f>INT((A46-'项目总表'!$B$15)/7)+1</x:f>
        <x:v>4</x:v>
      </x:c>
      <x:c r="C46" s="33" t="n">
        <x:f>SUMIFS('任务与甘特'!$AH$7:$AH$50,'任务与甘特'!$T$7:$T$50,"&lt;="&amp;$A46,'任务与甘特'!$U$7:$U$50,"&gt;="&amp;$A46)</x:f>
        <x:v>4</x:v>
      </x:c>
      <x:c r="D46" s="33" t="n">
        <x:f>SUMIFS('任务与甘特'!$AI$7:$AI$50,'任务与甘特'!$T$7:$T$50,"&lt;="&amp;$A46,'任务与甘特'!$U$7:$U$50,"&gt;="&amp;$A46)</x:f>
        <x:v>7.666666666666666</x:v>
      </x:c>
      <x:c r="E46" s="33" t="n">
        <x:f>SUMIFS('任务与甘特'!$AJ$7:$AJ$50,'任务与甘特'!$T$7:$T$50,"&lt;="&amp;$A46,'任务与甘特'!$U$7:$U$50,"&gt;="&amp;$A46)</x:f>
        <x:v>6.666666666666667</x:v>
      </x:c>
      <x:c r="F46" s="33" t="n">
        <x:f>SUMIFS('任务与甘特'!$AK$7:$AK$50,'任务与甘特'!$T$7:$T$50,"&lt;="&amp;$A46,'任务与甘特'!$U$7:$U$50,"&gt;="&amp;$A46)</x:f>
        <x:v>5.333333333333334</x:v>
      </x:c>
      <x:c r="G46" s="33" t="n">
        <x:f>SUM(C46:F46)</x:f>
        <x:v>23.666666666666664</x:v>
      </x:c>
      <x:c r="H46" s="29" t="str">
        <x:f>IF(MAX(C46:F46)&gt;'项目总表'!$B$55+0.000001,"超负荷","未超上限")</x:f>
        <x:v>未超上限</x:v>
      </x:c>
    </x:row>
    <x:row r="47" ht="58" customHeight="1">
      <x:c r="A47" s="42" t="n">
        <x:f>WORKDAY('项目总表'!$B$15-1,19)</x:f>
        <x:v>46338</x:v>
      </x:c>
      <x:c r="B47" s="29" t="n">
        <x:f>INT((A47-'项目总表'!$B$15)/7)+1</x:f>
        <x:v>4</x:v>
      </x:c>
      <x:c r="C47" s="33" t="n">
        <x:f>SUMIFS('任务与甘特'!$AH$7:$AH$50,'任务与甘特'!$T$7:$T$50,"&lt;="&amp;$A47,'任务与甘特'!$U$7:$U$50,"&gt;="&amp;$A47)</x:f>
        <x:v>7</x:v>
      </x:c>
      <x:c r="D47" s="33" t="n">
        <x:f>SUMIFS('任务与甘特'!$AI$7:$AI$50,'任务与甘特'!$T$7:$T$50,"&lt;="&amp;$A47,'任务与甘特'!$U$7:$U$50,"&gt;="&amp;$A47)</x:f>
        <x:v>7.666666666666666</x:v>
      </x:c>
      <x:c r="E47" s="33" t="n">
        <x:f>SUMIFS('任务与甘特'!$AJ$7:$AJ$50,'任务与甘特'!$T$7:$T$50,"&lt;="&amp;$A47,'任务与甘特'!$U$7:$U$50,"&gt;="&amp;$A47)</x:f>
        <x:v>3</x:v>
      </x:c>
      <x:c r="F47" s="33" t="n">
        <x:f>SUMIFS('任务与甘特'!$AK$7:$AK$50,'任务与甘特'!$T$7:$T$50,"&lt;="&amp;$A47,'任务与甘特'!$U$7:$U$50,"&gt;="&amp;$A47)</x:f>
        <x:v>4</x:v>
      </x:c>
      <x:c r="G47" s="33" t="n">
        <x:f>SUM(C47:F47)</x:f>
        <x:v>21.666666666666664</x:v>
      </x:c>
      <x:c r="H47" s="29" t="str">
        <x:f>IF(MAX(C47:F47)&gt;'项目总表'!$B$55+0.000001,"超负荷","未超上限")</x:f>
        <x:v>未超上限</x:v>
      </x:c>
    </x:row>
    <x:row r="48" ht="58" customHeight="1">
      <x:c r="A48" s="42" t="n">
        <x:f>WORKDAY('项目总表'!$B$15-1,20)</x:f>
        <x:v>46339</x:v>
      </x:c>
      <x:c r="B48" s="29" t="n">
        <x:f>INT((A48-'项目总表'!$B$15)/7)+1</x:f>
        <x:v>4</x:v>
      </x:c>
      <x:c r="C48" s="33" t="n">
        <x:f>SUMIFS('任务与甘特'!$AH$7:$AH$50,'任务与甘特'!$T$7:$T$50,"&lt;="&amp;$A48,'任务与甘特'!$U$7:$U$50,"&gt;="&amp;$A48)</x:f>
        <x:v>7</x:v>
      </x:c>
      <x:c r="D48" s="33" t="n">
        <x:f>SUMIFS('任务与甘特'!$AI$7:$AI$50,'任务与甘特'!$T$7:$T$50,"&lt;="&amp;$A48,'任务与甘特'!$U$7:$U$50,"&gt;="&amp;$A48)</x:f>
        <x:v>7.666666666666666</x:v>
      </x:c>
      <x:c r="E48" s="33" t="n">
        <x:f>SUMIFS('任务与甘特'!$AJ$7:$AJ$50,'任务与甘特'!$T$7:$T$50,"&lt;="&amp;$A48,'任务与甘特'!$U$7:$U$50,"&gt;="&amp;$A48)</x:f>
        <x:v>3</x:v>
      </x:c>
      <x:c r="F48" s="33" t="n">
        <x:f>SUMIFS('任务与甘特'!$AK$7:$AK$50,'任务与甘特'!$T$7:$T$50,"&lt;="&amp;$A48,'任务与甘特'!$U$7:$U$50,"&gt;="&amp;$A48)</x:f>
        <x:v>4</x:v>
      </x:c>
      <x:c r="G48" s="33" t="n">
        <x:f>SUM(C48:F48)</x:f>
        <x:v>21.666666666666664</x:v>
      </x:c>
      <x:c r="H48" s="29" t="str">
        <x:f>IF(MAX(C48:F48)&gt;'项目总表'!$B$55+0.000001,"超负荷","未超上限")</x:f>
        <x:v>未超上限</x:v>
      </x:c>
    </x:row>
    <x:row r="49" ht="58" customHeight="1">
      <x:c r="A49" s="42" t="n">
        <x:f>WORKDAY('项目总表'!$B$15-1,21)</x:f>
        <x:v>46342</x:v>
      </x:c>
      <x:c r="B49" s="29" t="n">
        <x:f>INT((A49-'项目总表'!$B$15)/7)+1</x:f>
        <x:v>5</x:v>
      </x:c>
      <x:c r="C49" s="33" t="n">
        <x:f>SUMIFS('任务与甘特'!$AH$7:$AH$50,'任务与甘特'!$T$7:$T$50,"&lt;="&amp;$A49,'任务与甘特'!$U$7:$U$50,"&gt;="&amp;$A49)</x:f>
        <x:v>6</x:v>
      </x:c>
      <x:c r="D49" s="33" t="n">
        <x:f>SUMIFS('任务与甘特'!$AI$7:$AI$50,'任务与甘特'!$T$7:$T$50,"&lt;="&amp;$A49,'任务与甘特'!$U$7:$U$50,"&gt;="&amp;$A49)</x:f>
        <x:v>6</x:v>
      </x:c>
      <x:c r="E49" s="33" t="n">
        <x:f>SUMIFS('任务与甘特'!$AJ$7:$AJ$50,'任务与甘特'!$T$7:$T$50,"&lt;="&amp;$A49,'任务与甘特'!$U$7:$U$50,"&gt;="&amp;$A49)</x:f>
        <x:v>5.833333333333333</x:v>
      </x:c>
      <x:c r="F49" s="33" t="n">
        <x:f>SUMIFS('任务与甘特'!$AK$7:$AK$50,'任务与甘特'!$T$7:$T$50,"&lt;="&amp;$A49,'任务与甘特'!$U$7:$U$50,"&gt;="&amp;$A49)</x:f>
        <x:v>4.166666666666666</x:v>
      </x:c>
      <x:c r="G49" s="33" t="n">
        <x:f>SUM(C49:F49)</x:f>
        <x:v>22</x:v>
      </x:c>
      <x:c r="H49" s="29" t="str">
        <x:f>IF(MAX(C49:F49)&gt;'项目总表'!$B$55+0.000001,"超负荷","未超上限")</x:f>
        <x:v>未超上限</x:v>
      </x:c>
    </x:row>
    <x:row r="50" ht="58" customHeight="1">
      <x:c r="A50" s="42" t="n">
        <x:f>WORKDAY('项目总表'!$B$15-1,22)</x:f>
        <x:v>46343</x:v>
      </x:c>
      <x:c r="B50" s="29" t="n">
        <x:f>INT((A50-'项目总表'!$B$15)/7)+1</x:f>
        <x:v>5</x:v>
      </x:c>
      <x:c r="C50" s="33" t="n">
        <x:f>SUMIFS('任务与甘特'!$AH$7:$AH$50,'任务与甘特'!$T$7:$T$50,"&lt;="&amp;$A50,'任务与甘特'!$U$7:$U$50,"&gt;="&amp;$A50)</x:f>
        <x:v>4.333333333333334</x:v>
      </x:c>
      <x:c r="D50" s="33" t="n">
        <x:f>SUMIFS('任务与甘特'!$AI$7:$AI$50,'任务与甘特'!$T$7:$T$50,"&lt;="&amp;$A50,'任务与甘特'!$U$7:$U$50,"&gt;="&amp;$A50)</x:f>
        <x:v>5</x:v>
      </x:c>
      <x:c r="E50" s="33" t="n">
        <x:f>SUMIFS('任务与甘特'!$AJ$7:$AJ$50,'任务与甘特'!$T$7:$T$50,"&lt;="&amp;$A50,'任务与甘特'!$U$7:$U$50,"&gt;="&amp;$A50)</x:f>
        <x:v>7.5</x:v>
      </x:c>
      <x:c r="F50" s="33" t="n">
        <x:f>SUMIFS('任务与甘特'!$AK$7:$AK$50,'任务与甘特'!$T$7:$T$50,"&lt;="&amp;$A50,'任务与甘特'!$U$7:$U$50,"&gt;="&amp;$A50)</x:f>
        <x:v>7.166666666666666</x:v>
      </x:c>
      <x:c r="G50" s="33" t="n">
        <x:f>SUM(C50:F50)</x:f>
        <x:v>24</x:v>
      </x:c>
      <x:c r="H50" s="29" t="str">
        <x:f>IF(MAX(C50:F50)&gt;'项目总表'!$B$55+0.000001,"超负荷","未超上限")</x:f>
        <x:v>未超上限</x:v>
      </x:c>
    </x:row>
    <x:row r="51" ht="58" customHeight="1">
      <x:c r="A51" s="42" t="n">
        <x:f>WORKDAY('项目总表'!$B$15-1,23)</x:f>
        <x:v>46344</x:v>
      </x:c>
      <x:c r="B51" s="29" t="n">
        <x:f>INT((A51-'项目总表'!$B$15)/7)+1</x:f>
        <x:v>5</x:v>
      </x:c>
      <x:c r="C51" s="33" t="n">
        <x:f>SUMIFS('任务与甘特'!$AH$7:$AH$50,'任务与甘特'!$T$7:$T$50,"&lt;="&amp;$A51,'任务与甘特'!$U$7:$U$50,"&gt;="&amp;$A51)</x:f>
        <x:v>4.333333333333334</x:v>
      </x:c>
      <x:c r="D51" s="33" t="n">
        <x:f>SUMIFS('任务与甘特'!$AI$7:$AI$50,'任务与甘特'!$T$7:$T$50,"&lt;="&amp;$A51,'任务与甘特'!$U$7:$U$50,"&gt;="&amp;$A51)</x:f>
        <x:v>5.5</x:v>
      </x:c>
      <x:c r="E51" s="33" t="n">
        <x:f>SUMIFS('任务与甘特'!$AJ$7:$AJ$50,'任务与甘特'!$T$7:$T$50,"&lt;="&amp;$A51,'任务与甘特'!$U$7:$U$50,"&gt;="&amp;$A51)</x:f>
        <x:v>6</x:v>
      </x:c>
      <x:c r="F51" s="33" t="n">
        <x:f>SUMIFS('任务与甘特'!$AK$7:$AK$50,'任务与甘特'!$T$7:$T$50,"&lt;="&amp;$A51,'任务与甘特'!$U$7:$U$50,"&gt;="&amp;$A51)</x:f>
        <x:v>7.666666666666666</x:v>
      </x:c>
      <x:c r="G51" s="33" t="n">
        <x:f>SUM(C51:F51)</x:f>
        <x:v>23.5</x:v>
      </x:c>
      <x:c r="H51" s="29" t="str">
        <x:f>IF(MAX(C51:F51)&gt;'项目总表'!$B$55+0.000001,"超负荷","未超上限")</x:f>
        <x:v>未超上限</x:v>
      </x:c>
    </x:row>
    <x:row r="52" ht="58" customHeight="1">
      <x:c r="A52" s="42" t="n">
        <x:f>WORKDAY('项目总表'!$B$15-1,24)</x:f>
        <x:v>46345</x:v>
      </x:c>
      <x:c r="B52" s="29" t="n">
        <x:f>INT((A52-'项目总表'!$B$15)/7)+1</x:f>
        <x:v>5</x:v>
      </x:c>
      <x:c r="C52" s="33" t="n">
        <x:f>SUMIFS('任务与甘特'!$AH$7:$AH$50,'任务与甘特'!$T$7:$T$50,"&lt;="&amp;$A52,'任务与甘特'!$U$7:$U$50,"&gt;="&amp;$A52)</x:f>
        <x:v>7.333333333333334</x:v>
      </x:c>
      <x:c r="D52" s="33" t="n">
        <x:f>SUMIFS('任务与甘特'!$AI$7:$AI$50,'任务与甘特'!$T$7:$T$50,"&lt;="&amp;$A52,'任务与甘特'!$U$7:$U$50,"&gt;="&amp;$A52)</x:f>
        <x:v>6.5</x:v>
      </x:c>
      <x:c r="E52" s="33" t="n">
        <x:f>SUMIFS('任务与甘特'!$AJ$7:$AJ$50,'任务与甘特'!$T$7:$T$50,"&lt;="&amp;$A52,'任务与甘特'!$U$7:$U$50,"&gt;="&amp;$A52)</x:f>
        <x:v>6</x:v>
      </x:c>
      <x:c r="F52" s="33" t="n">
        <x:f>SUMIFS('任务与甘特'!$AK$7:$AK$50,'任务与甘特'!$T$7:$T$50,"&lt;="&amp;$A52,'任务与甘特'!$U$7:$U$50,"&gt;="&amp;$A52)</x:f>
        <x:v>5.666666666666666</x:v>
      </x:c>
      <x:c r="G52" s="33" t="n">
        <x:f>SUM(C52:F52)</x:f>
        <x:v>25.5</x:v>
      </x:c>
      <x:c r="H52" s="29" t="str">
        <x:f>IF(MAX(C52:F52)&gt;'项目总表'!$B$55+0.000001,"超负荷","未超上限")</x:f>
        <x:v>未超上限</x:v>
      </x:c>
    </x:row>
    <x:row r="53" ht="58" customHeight="1">
      <x:c r="A53" s="42" t="n">
        <x:f>WORKDAY('项目总表'!$B$15-1,25)</x:f>
        <x:v>46346</x:v>
      </x:c>
      <x:c r="B53" s="29" t="n">
        <x:f>INT((A53-'项目总表'!$B$15)/7)+1</x:f>
        <x:v>5</x:v>
      </x:c>
      <x:c r="C53" s="33" t="n">
        <x:f>SUMIFS('任务与甘特'!$AH$7:$AH$50,'任务与甘特'!$T$7:$T$50,"&lt;="&amp;$A53,'任务与甘特'!$U$7:$U$50,"&gt;="&amp;$A53)</x:f>
        <x:v>8</x:v>
      </x:c>
      <x:c r="D53" s="33" t="n">
        <x:f>SUMIFS('任务与甘特'!$AI$7:$AI$50,'任务与甘特'!$T$7:$T$50,"&lt;="&amp;$A53,'任务与甘特'!$U$7:$U$50,"&gt;="&amp;$A53)</x:f>
        <x:v>7</x:v>
      </x:c>
      <x:c r="E53" s="33" t="n">
        <x:f>SUMIFS('任务与甘特'!$AJ$7:$AJ$50,'任务与甘特'!$T$7:$T$50,"&lt;="&amp;$A53,'任务与甘特'!$U$7:$U$50,"&gt;="&amp;$A53)</x:f>
        <x:v>2</x:v>
      </x:c>
      <x:c r="F53" s="33" t="n">
        <x:f>SUMIFS('任务与甘特'!$AK$7:$AK$50,'任务与甘特'!$T$7:$T$50,"&lt;="&amp;$A53,'任务与甘特'!$U$7:$U$50,"&gt;="&amp;$A53)</x:f>
        <x:v>6</x:v>
      </x:c>
      <x:c r="G53" s="33" t="n">
        <x:f>SUM(C53:F53)</x:f>
        <x:v>23</x:v>
      </x:c>
      <x:c r="H53" s="29" t="str">
        <x:f>IF(MAX(C53:F53)&gt;'项目总表'!$B$55+0.000001,"超负荷","未超上限")</x:f>
        <x:v>未超上限</x:v>
      </x:c>
    </x:row>
    <x:row r="54" ht="58" customHeight="1">
      <x:c r="A54" s="42" t="n">
        <x:f>WORKDAY('项目总表'!$B$15-1,26)</x:f>
        <x:v>46349</x:v>
      </x:c>
      <x:c r="B54" s="29" t="n">
        <x:f>INT((A54-'项目总表'!$B$15)/7)+1</x:f>
        <x:v>6</x:v>
      </x:c>
      <x:c r="C54" s="33" t="n">
        <x:f>SUMIFS('任务与甘特'!$AH$7:$AH$50,'任务与甘特'!$T$7:$T$50,"&lt;="&amp;$A54,'任务与甘特'!$U$7:$U$50,"&gt;="&amp;$A54)</x:f>
        <x:v>8</x:v>
      </x:c>
      <x:c r="D54" s="33" t="n">
        <x:f>SUMIFS('任务与甘特'!$AI$7:$AI$50,'任务与甘特'!$T$7:$T$50,"&lt;="&amp;$A54,'任务与甘特'!$U$7:$U$50,"&gt;="&amp;$A54)</x:f>
        <x:v>7</x:v>
      </x:c>
      <x:c r="E54" s="33" t="n">
        <x:f>SUMIFS('任务与甘特'!$AJ$7:$AJ$50,'任务与甘特'!$T$7:$T$50,"&lt;="&amp;$A54,'任务与甘特'!$U$7:$U$50,"&gt;="&amp;$A54)</x:f>
        <x:v>4</x:v>
      </x:c>
      <x:c r="F54" s="33" t="n">
        <x:f>SUMIFS('任务与甘特'!$AK$7:$AK$50,'任务与甘特'!$T$7:$T$50,"&lt;="&amp;$A54,'任务与甘特'!$U$7:$U$50,"&gt;="&amp;$A54)</x:f>
        <x:v>7</x:v>
      </x:c>
      <x:c r="G54" s="33" t="n">
        <x:f>SUM(C54:F54)</x:f>
        <x:v>26</x:v>
      </x:c>
      <x:c r="H54" s="29" t="str">
        <x:f>IF(MAX(C54:F54)&gt;'项目总表'!$B$55+0.000001,"超负荷","未超上限")</x:f>
        <x:v>未超上限</x:v>
      </x:c>
    </x:row>
    <x:row r="55" ht="58" customHeight="1">
      <x:c r="A55" s="42" t="n">
        <x:f>WORKDAY('项目总表'!$B$15-1,27)</x:f>
        <x:v>46350</x:v>
      </x:c>
      <x:c r="B55" s="29" t="n">
        <x:f>INT((A55-'项目总表'!$B$15)/7)+1</x:f>
        <x:v>6</x:v>
      </x:c>
      <x:c r="C55" s="33" t="n">
        <x:f>SUMIFS('任务与甘特'!$AH$7:$AH$50,'任务与甘特'!$T$7:$T$50,"&lt;="&amp;$A55,'任务与甘特'!$U$7:$U$50,"&gt;="&amp;$A55)</x:f>
        <x:v>8</x:v>
      </x:c>
      <x:c r="D55" s="33" t="n">
        <x:f>SUMIFS('任务与甘特'!$AI$7:$AI$50,'任务与甘特'!$T$7:$T$50,"&lt;="&amp;$A55,'任务与甘特'!$U$7:$U$50,"&gt;="&amp;$A55)</x:f>
        <x:v>7</x:v>
      </x:c>
      <x:c r="E55" s="33" t="n">
        <x:f>SUMIFS('任务与甘特'!$AJ$7:$AJ$50,'任务与甘特'!$T$7:$T$50,"&lt;="&amp;$A55,'任务与甘特'!$U$7:$U$50,"&gt;="&amp;$A55)</x:f>
        <x:v>4</x:v>
      </x:c>
      <x:c r="F55" s="33" t="n">
        <x:f>SUMIFS('任务与甘特'!$AK$7:$AK$50,'任务与甘特'!$T$7:$T$50,"&lt;="&amp;$A55,'任务与甘特'!$U$7:$U$50,"&gt;="&amp;$A55)</x:f>
        <x:v>7</x:v>
      </x:c>
      <x:c r="G55" s="33" t="n">
        <x:f>SUM(C55:F55)</x:f>
        <x:v>26</x:v>
      </x:c>
      <x:c r="H55" s="29" t="str">
        <x:f>IF(MAX(C55:F55)&gt;'项目总表'!$B$55+0.000001,"超负荷","未超上限")</x:f>
        <x:v>未超上限</x:v>
      </x:c>
    </x:row>
    <x:row r="56" ht="58" customHeight="1">
      <x:c r="A56" s="42" t="n">
        <x:f>WORKDAY('项目总表'!$B$15-1,28)</x:f>
        <x:v>46351</x:v>
      </x:c>
      <x:c r="B56" s="29" t="n">
        <x:f>INT((A56-'项目总表'!$B$15)/7)+1</x:f>
        <x:v>6</x:v>
      </x:c>
      <x:c r="C56" s="33" t="n">
        <x:f>SUMIFS('任务与甘特'!$AH$7:$AH$50,'任务与甘特'!$T$7:$T$50,"&lt;="&amp;$A56,'任务与甘特'!$U$7:$U$50,"&gt;="&amp;$A56)</x:f>
        <x:v>4.333333333333334</x:v>
      </x:c>
      <x:c r="D56" s="33" t="n">
        <x:f>SUMIFS('任务与甘特'!$AI$7:$AI$50,'任务与甘特'!$T$7:$T$50,"&lt;="&amp;$A56,'任务与甘特'!$U$7:$U$50,"&gt;="&amp;$A56)</x:f>
        <x:v>8</x:v>
      </x:c>
      <x:c r="E56" s="33" t="n">
        <x:f>SUMIFS('任务与甘特'!$AJ$7:$AJ$50,'任务与甘特'!$T$7:$T$50,"&lt;="&amp;$A56,'任务与甘特'!$U$7:$U$50,"&gt;="&amp;$A56)</x:f>
        <x:v>6.666666666666666</x:v>
      </x:c>
      <x:c r="F56" s="33" t="n">
        <x:f>SUMIFS('任务与甘特'!$AK$7:$AK$50,'任务与甘特'!$T$7:$T$50,"&lt;="&amp;$A56,'任务与甘特'!$U$7:$U$50,"&gt;="&amp;$A56)</x:f>
        <x:v>7.333333333333333</x:v>
      </x:c>
      <x:c r="G56" s="33" t="n">
        <x:f>SUM(C56:F56)</x:f>
        <x:v>26.333333333333332</x:v>
      </x:c>
      <x:c r="H56" s="29" t="str">
        <x:f>IF(MAX(C56:F56)&gt;'项目总表'!$B$55+0.000001,"超负荷","未超上限")</x:f>
        <x:v>未超上限</x:v>
      </x:c>
    </x:row>
    <x:row r="57" ht="58" customHeight="1">
      <x:c r="A57" s="42" t="n">
        <x:f>WORKDAY('项目总表'!$B$15-1,29)</x:f>
        <x:v>46352</x:v>
      </x:c>
      <x:c r="B57" s="29" t="n">
        <x:f>INT((A57-'项目总表'!$B$15)/7)+1</x:f>
        <x:v>6</x:v>
      </x:c>
      <x:c r="C57" s="33" t="n">
        <x:f>SUMIFS('任务与甘特'!$AH$7:$AH$50,'任务与甘特'!$T$7:$T$50,"&lt;="&amp;$A57,'任务与甘特'!$U$7:$U$50,"&gt;="&amp;$A57)</x:f>
        <x:v>4.333333333333334</x:v>
      </x:c>
      <x:c r="D57" s="33" t="n">
        <x:f>SUMIFS('任务与甘特'!$AI$7:$AI$50,'任务与甘特'!$T$7:$T$50,"&lt;="&amp;$A57,'任务与甘特'!$U$7:$U$50,"&gt;="&amp;$A57)</x:f>
        <x:v>8</x:v>
      </x:c>
      <x:c r="E57" s="33" t="n">
        <x:f>SUMIFS('任务与甘特'!$AJ$7:$AJ$50,'任务与甘特'!$T$7:$T$50,"&lt;="&amp;$A57,'任务与甘特'!$U$7:$U$50,"&gt;="&amp;$A57)</x:f>
        <x:v>6.666666666666666</x:v>
      </x:c>
      <x:c r="F57" s="33" t="n">
        <x:f>SUMIFS('任务与甘特'!$AK$7:$AK$50,'任务与甘特'!$T$7:$T$50,"&lt;="&amp;$A57,'任务与甘特'!$U$7:$U$50,"&gt;="&amp;$A57)</x:f>
        <x:v>7.333333333333333</x:v>
      </x:c>
      <x:c r="G57" s="33" t="n">
        <x:f>SUM(C57:F57)</x:f>
        <x:v>26.333333333333332</x:v>
      </x:c>
      <x:c r="H57" s="29" t="str">
        <x:f>IF(MAX(C57:F57)&gt;'项目总表'!$B$55+0.000001,"超负荷","未超上限")</x:f>
        <x:v>未超上限</x:v>
      </x:c>
    </x:row>
    <x:row r="58" ht="58" customHeight="1">
      <x:c r="A58" s="42" t="n">
        <x:f>WORKDAY('项目总表'!$B$15-1,30)</x:f>
        <x:v>46353</x:v>
      </x:c>
      <x:c r="B58" s="29" t="n">
        <x:f>INT((A58-'项目总表'!$B$15)/7)+1</x:f>
        <x:v>6</x:v>
      </x:c>
      <x:c r="C58" s="33" t="n">
        <x:f>SUMIFS('任务与甘特'!$AH$7:$AH$50,'任务与甘特'!$T$7:$T$50,"&lt;="&amp;$A58,'任务与甘特'!$U$7:$U$50,"&gt;="&amp;$A58)</x:f>
        <x:v>5.333333333333334</x:v>
      </x:c>
      <x:c r="D58" s="33" t="n">
        <x:f>SUMIFS('任务与甘特'!$AI$7:$AI$50,'任务与甘特'!$T$7:$T$50,"&lt;="&amp;$A58,'任务与甘特'!$U$7:$U$50,"&gt;="&amp;$A58)</x:f>
        <x:v>7</x:v>
      </x:c>
      <x:c r="E58" s="33" t="n">
        <x:f>SUMIFS('任务与甘特'!$AJ$7:$AJ$50,'任务与甘特'!$T$7:$T$50,"&lt;="&amp;$A58,'任务与甘特'!$U$7:$U$50,"&gt;="&amp;$A58)</x:f>
        <x:v>2.6666666666666665</x:v>
      </x:c>
      <x:c r="F58" s="33" t="n">
        <x:f>SUMIFS('任务与甘特'!$AK$7:$AK$50,'任务与甘特'!$T$7:$T$50,"&lt;="&amp;$A58,'任务与甘特'!$U$7:$U$50,"&gt;="&amp;$A58)</x:f>
        <x:v>7.333333333333333</x:v>
      </x:c>
      <x:c r="G58" s="33" t="n">
        <x:f>SUM(C58:F58)</x:f>
        <x:v>22.333333333333332</x:v>
      </x:c>
      <x:c r="H58" s="29" t="str">
        <x:f>IF(MAX(C58:F58)&gt;'项目总表'!$B$55+0.000001,"超负荷","未超上限")</x:f>
        <x:v>未超上限</x:v>
      </x:c>
    </x:row>
    <x:row r="59" ht="58" customHeight="1">
      <x:c r="A59" s="42" t="n">
        <x:f>WORKDAY('项目总表'!$B$15-1,31)</x:f>
        <x:v>46356</x:v>
      </x:c>
      <x:c r="B59" s="29" t="n">
        <x:f>INT((A59-'项目总表'!$B$15)/7)+1</x:f>
        <x:v>7</x:v>
      </x:c>
      <x:c r="C59" s="33" t="n">
        <x:f>SUMIFS('任务与甘特'!$AH$7:$AH$50,'任务与甘特'!$T$7:$T$50,"&lt;="&amp;$A59,'任务与甘特'!$U$7:$U$50,"&gt;="&amp;$A59)</x:f>
        <x:v>7.666666666666666</x:v>
      </x:c>
      <x:c r="D59" s="33" t="n">
        <x:f>SUMIFS('任务与甘特'!$AI$7:$AI$50,'任务与甘特'!$T$7:$T$50,"&lt;="&amp;$A59,'任务与甘特'!$U$7:$U$50,"&gt;="&amp;$A59)</x:f>
        <x:v>4.666666666666666</x:v>
      </x:c>
      <x:c r="E59" s="33" t="n">
        <x:f>SUMIFS('任务与甘特'!$AJ$7:$AJ$50,'任务与甘特'!$T$7:$T$50,"&lt;="&amp;$A59,'任务与甘特'!$U$7:$U$50,"&gt;="&amp;$A59)</x:f>
        <x:v>4.666666666666666</x:v>
      </x:c>
      <x:c r="F59" s="33" t="n">
        <x:f>SUMIFS('任务与甘特'!$AK$7:$AK$50,'任务与甘特'!$T$7:$T$50,"&lt;="&amp;$A59,'任务与甘特'!$U$7:$U$50,"&gt;="&amp;$A59)</x:f>
        <x:v>8</x:v>
      </x:c>
      <x:c r="G59" s="33" t="n">
        <x:f>SUM(C59:F59)</x:f>
        <x:v>25</x:v>
      </x:c>
      <x:c r="H59" s="29" t="str">
        <x:f>IF(MAX(C59:F59)&gt;'项目总表'!$B$55+0.000001,"超负荷","未超上限")</x:f>
        <x:v>未超上限</x:v>
      </x:c>
    </x:row>
    <x:row r="60" ht="58" customHeight="1">
      <x:c r="A60" s="42" t="n">
        <x:f>WORKDAY('项目总表'!$B$15-1,32)</x:f>
        <x:v>46357</x:v>
      </x:c>
      <x:c r="B60" s="29" t="n">
        <x:f>INT((A60-'项目总表'!$B$15)/7)+1</x:f>
        <x:v>7</x:v>
      </x:c>
      <x:c r="C60" s="33" t="n">
        <x:f>SUMIFS('任务与甘特'!$AH$7:$AH$50,'任务与甘特'!$T$7:$T$50,"&lt;="&amp;$A60,'任务与甘特'!$U$7:$U$50,"&gt;="&amp;$A60)</x:f>
        <x:v>7.666666666666666</x:v>
      </x:c>
      <x:c r="D60" s="33" t="n">
        <x:f>SUMIFS('任务与甘特'!$AI$7:$AI$50,'任务与甘特'!$T$7:$T$50,"&lt;="&amp;$A60,'任务与甘特'!$U$7:$U$50,"&gt;="&amp;$A60)</x:f>
        <x:v>4.666666666666666</x:v>
      </x:c>
      <x:c r="E60" s="33" t="n">
        <x:f>SUMIFS('任务与甘特'!$AJ$7:$AJ$50,'任务与甘特'!$T$7:$T$50,"&lt;="&amp;$A60,'任务与甘特'!$U$7:$U$50,"&gt;="&amp;$A60)</x:f>
        <x:v>4.666666666666666</x:v>
      </x:c>
      <x:c r="F60" s="33" t="n">
        <x:f>SUMIFS('任务与甘特'!$AK$7:$AK$50,'任务与甘特'!$T$7:$T$50,"&lt;="&amp;$A60,'任务与甘特'!$U$7:$U$50,"&gt;="&amp;$A60)</x:f>
        <x:v>8</x:v>
      </x:c>
      <x:c r="G60" s="33" t="n">
        <x:f>SUM(C60:F60)</x:f>
        <x:v>25</x:v>
      </x:c>
      <x:c r="H60" s="29" t="str">
        <x:f>IF(MAX(C60:F60)&gt;'项目总表'!$B$55+0.000001,"超负荷","未超上限")</x:f>
        <x:v>未超上限</x:v>
      </x:c>
    </x:row>
    <x:row r="61" ht="58" customHeight="1">
      <x:c r="A61" s="42" t="n">
        <x:f>WORKDAY('项目总表'!$B$15-1,33)</x:f>
        <x:v>46358</x:v>
      </x:c>
      <x:c r="B61" s="29" t="n">
        <x:f>INT((A61-'项目总表'!$B$15)/7)+1</x:f>
        <x:v>7</x:v>
      </x:c>
      <x:c r="C61" s="33" t="n">
        <x:f>SUMIFS('任务与甘特'!$AH$7:$AH$50,'任务与甘特'!$T$7:$T$50,"&lt;="&amp;$A61,'任务与甘特'!$U$7:$U$50,"&gt;="&amp;$A61)</x:f>
        <x:v>7.666666666666666</x:v>
      </x:c>
      <x:c r="D61" s="33" t="n">
        <x:f>SUMIFS('任务与甘特'!$AI$7:$AI$50,'任务与甘特'!$T$7:$T$50,"&lt;="&amp;$A61,'任务与甘特'!$U$7:$U$50,"&gt;="&amp;$A61)</x:f>
        <x:v>4.666666666666666</x:v>
      </x:c>
      <x:c r="E61" s="33" t="n">
        <x:f>SUMIFS('任务与甘特'!$AJ$7:$AJ$50,'任务与甘特'!$T$7:$T$50,"&lt;="&amp;$A61,'任务与甘特'!$U$7:$U$50,"&gt;="&amp;$A61)</x:f>
        <x:v>4.666666666666666</x:v>
      </x:c>
      <x:c r="F61" s="33" t="n">
        <x:f>SUMIFS('任务与甘特'!$AK$7:$AK$50,'任务与甘特'!$T$7:$T$50,"&lt;="&amp;$A61,'任务与甘特'!$U$7:$U$50,"&gt;="&amp;$A61)</x:f>
        <x:v>8</x:v>
      </x:c>
      <x:c r="G61" s="33" t="n">
        <x:f>SUM(C61:F61)</x:f>
        <x:v>25</x:v>
      </x:c>
      <x:c r="H61" s="29" t="str">
        <x:f>IF(MAX(C61:F61)&gt;'项目总表'!$B$55+0.000001,"超负荷","未超上限")</x:f>
        <x:v>未超上限</x:v>
      </x:c>
    </x:row>
    <x:row r="62" ht="58" customHeight="1">
      <x:c r="A62" s="42" t="n">
        <x:f>WORKDAY('项目总表'!$B$15-1,34)</x:f>
        <x:v>46359</x:v>
      </x:c>
      <x:c r="B62" s="29" t="n">
        <x:f>INT((A62-'项目总表'!$B$15)/7)+1</x:f>
        <x:v>7</x:v>
      </x:c>
      <x:c r="C62" s="33" t="n">
        <x:f>SUMIFS('任务与甘特'!$AH$7:$AH$50,'任务与甘特'!$T$7:$T$50,"&lt;="&amp;$A62,'任务与甘特'!$U$7:$U$50,"&gt;="&amp;$A62)</x:f>
        <x:v>7.333333333333334</x:v>
      </x:c>
      <x:c r="D62" s="33" t="n">
        <x:f>SUMIFS('任务与甘特'!$AI$7:$AI$50,'任务与甘特'!$T$7:$T$50,"&lt;="&amp;$A62,'任务与甘特'!$U$7:$U$50,"&gt;="&amp;$A62)</x:f>
        <x:v>6.333333333333333</x:v>
      </x:c>
      <x:c r="E62" s="33" t="n">
        <x:f>SUMIFS('任务与甘特'!$AJ$7:$AJ$50,'任务与甘特'!$T$7:$T$50,"&lt;="&amp;$A62,'任务与甘特'!$U$7:$U$50,"&gt;="&amp;$A62)</x:f>
        <x:v>7.333333333333333</x:v>
      </x:c>
      <x:c r="F62" s="33" t="n">
        <x:f>SUMIFS('任务与甘特'!$AK$7:$AK$50,'任务与甘特'!$T$7:$T$50,"&lt;="&amp;$A62,'任务与甘特'!$U$7:$U$50,"&gt;="&amp;$A62)</x:f>
        <x:v>6.666666666666667</x:v>
      </x:c>
      <x:c r="G62" s="33" t="n">
        <x:f>SUM(C62:F62)</x:f>
        <x:v>27.666666666666668</x:v>
      </x:c>
      <x:c r="H62" s="29" t="str">
        <x:f>IF(MAX(C62:F62)&gt;'项目总表'!$B$55+0.000001,"超负荷","未超上限")</x:f>
        <x:v>未超上限</x:v>
      </x:c>
    </x:row>
    <x:row r="63" ht="58" customHeight="1">
      <x:c r="A63" s="42" t="n">
        <x:f>WORKDAY('项目总表'!$B$15-1,35)</x:f>
        <x:v>46360</x:v>
      </x:c>
      <x:c r="B63" s="29" t="n">
        <x:f>INT((A63-'项目总表'!$B$15)/7)+1</x:f>
        <x:v>7</x:v>
      </x:c>
      <x:c r="C63" s="33" t="n">
        <x:f>SUMIFS('任务与甘特'!$AH$7:$AH$50,'任务与甘特'!$T$7:$T$50,"&lt;="&amp;$A63,'任务与甘特'!$U$7:$U$50,"&gt;="&amp;$A63)</x:f>
        <x:v>4.333333333333334</x:v>
      </x:c>
      <x:c r="D63" s="33" t="n">
        <x:f>SUMIFS('任务与甘特'!$AI$7:$AI$50,'任务与甘特'!$T$7:$T$50,"&lt;="&amp;$A63,'任务与甘特'!$U$7:$U$50,"&gt;="&amp;$A63)</x:f>
        <x:v>5.333333333333333</x:v>
      </x:c>
      <x:c r="E63" s="33" t="n">
        <x:f>SUMIFS('任务与甘特'!$AJ$7:$AJ$50,'任务与甘特'!$T$7:$T$50,"&lt;="&amp;$A63,'任务与甘特'!$U$7:$U$50,"&gt;="&amp;$A63)</x:f>
        <x:v>5.333333333333333</x:v>
      </x:c>
      <x:c r="F63" s="33" t="n">
        <x:f>SUMIFS('任务与甘特'!$AK$7:$AK$50,'任务与甘特'!$T$7:$T$50,"&lt;="&amp;$A63,'任务与甘特'!$U$7:$U$50,"&gt;="&amp;$A63)</x:f>
        <x:v>4.666666666666667</x:v>
      </x:c>
      <x:c r="G63" s="33" t="n">
        <x:f>SUM(C63:F63)</x:f>
        <x:v>19.666666666666668</x:v>
      </x:c>
      <x:c r="H63" s="29" t="str">
        <x:f>IF(MAX(C63:F63)&gt;'项目总表'!$B$55+0.000001,"超负荷","未超上限")</x:f>
        <x:v>未超上限</x:v>
      </x:c>
    </x:row>
    <x:row r="64" ht="58" customHeight="1">
      <x:c r="A64" s="42" t="n">
        <x:f>WORKDAY('项目总表'!$B$15-1,36)</x:f>
        <x:v>46363</x:v>
      </x:c>
      <x:c r="B64" s="29" t="n">
        <x:f>INT((A64-'项目总表'!$B$15)/7)+1</x:f>
        <x:v>8</x:v>
      </x:c>
      <x:c r="C64" s="33" t="n">
        <x:f>SUMIFS('任务与甘特'!$AH$7:$AH$50,'任务与甘特'!$T$7:$T$50,"&lt;="&amp;$A64,'任务与甘特'!$U$7:$U$50,"&gt;="&amp;$A64)</x:f>
        <x:v>4.333333333333334</x:v>
      </x:c>
      <x:c r="D64" s="33" t="n">
        <x:f>SUMIFS('任务与甘特'!$AI$7:$AI$50,'任务与甘特'!$T$7:$T$50,"&lt;="&amp;$A64,'任务与甘特'!$U$7:$U$50,"&gt;="&amp;$A64)</x:f>
        <x:v>5.333333333333333</x:v>
      </x:c>
      <x:c r="E64" s="33" t="n">
        <x:f>SUMIFS('任务与甘特'!$AJ$7:$AJ$50,'任务与甘特'!$T$7:$T$50,"&lt;="&amp;$A64,'任务与甘特'!$U$7:$U$50,"&gt;="&amp;$A64)</x:f>
        <x:v>5.333333333333333</x:v>
      </x:c>
      <x:c r="F64" s="33" t="n">
        <x:f>SUMIFS('任务与甘特'!$AK$7:$AK$50,'任务与甘特'!$T$7:$T$50,"&lt;="&amp;$A64,'任务与甘特'!$U$7:$U$50,"&gt;="&amp;$A64)</x:f>
        <x:v>4.666666666666667</x:v>
      </x:c>
      <x:c r="G64" s="33" t="n">
        <x:f>SUM(C64:F64)</x:f>
        <x:v>19.666666666666668</x:v>
      </x:c>
      <x:c r="H64" s="29" t="str">
        <x:f>IF(MAX(C64:F64)&gt;'项目总表'!$B$55+0.000001,"超负荷","未超上限")</x:f>
        <x:v>未超上限</x:v>
      </x:c>
    </x:row>
    <x:row r="65" ht="58" customHeight="1">
      <x:c r="A65" s="42" t="n">
        <x:f>WORKDAY('项目总表'!$B$15-1,37)</x:f>
        <x:v>46364</x:v>
      </x:c>
      <x:c r="B65" s="29" t="n">
        <x:f>INT((A65-'项目总表'!$B$15)/7)+1</x:f>
        <x:v>8</x:v>
      </x:c>
      <x:c r="C65" s="33" t="n">
        <x:f>SUMIFS('任务与甘特'!$AH$7:$AH$50,'任务与甘特'!$T$7:$T$50,"&lt;="&amp;$A65,'任务与甘特'!$U$7:$U$50,"&gt;="&amp;$A65)</x:f>
        <x:v>6</x:v>
      </x:c>
      <x:c r="D65" s="33" t="n">
        <x:f>SUMIFS('任务与甘特'!$AI$7:$AI$50,'任务与甘特'!$T$7:$T$50,"&lt;="&amp;$A65,'任务与甘特'!$U$7:$U$50,"&gt;="&amp;$A65)</x:f>
        <x:v>3</x:v>
      </x:c>
      <x:c r="E65" s="33" t="n">
        <x:f>SUMIFS('任务与甘特'!$AJ$7:$AJ$50,'任务与甘特'!$T$7:$T$50,"&lt;="&amp;$A65,'任务与甘特'!$U$7:$U$50,"&gt;="&amp;$A65)</x:f>
        <x:v>3</x:v>
      </x:c>
      <x:c r="F65" s="33" t="n">
        <x:f>SUMIFS('任务与甘特'!$AK$7:$AK$50,'任务与甘特'!$T$7:$T$50,"&lt;="&amp;$A65,'任务与甘特'!$U$7:$U$50,"&gt;="&amp;$A65)</x:f>
        <x:v>7</x:v>
      </x:c>
      <x:c r="G65" s="33" t="n">
        <x:f>SUM(C65:F65)</x:f>
        <x:v>19</x:v>
      </x:c>
      <x:c r="H65" s="29" t="str">
        <x:f>IF(MAX(C65:F65)&gt;'项目总表'!$B$55+0.000001,"超负荷","未超上限")</x:f>
        <x:v>未超上限</x:v>
      </x:c>
    </x:row>
    <x:row r="66" ht="58" customHeight="1">
      <x:c r="A66" s="42" t="n">
        <x:f>WORKDAY('项目总表'!$B$15-1,38)</x:f>
        <x:v>46365</x:v>
      </x:c>
      <x:c r="B66" s="29" t="n">
        <x:f>INT((A66-'项目总表'!$B$15)/7)+1</x:f>
        <x:v>8</x:v>
      </x:c>
      <x:c r="C66" s="33" t="n">
        <x:f>SUMIFS('任务与甘特'!$AH$7:$AH$50,'任务与甘特'!$T$7:$T$50,"&lt;="&amp;$A66,'任务与甘特'!$U$7:$U$50,"&gt;="&amp;$A66)</x:f>
        <x:v>6</x:v>
      </x:c>
      <x:c r="D66" s="33" t="n">
        <x:f>SUMIFS('任务与甘特'!$AI$7:$AI$50,'任务与甘特'!$T$7:$T$50,"&lt;="&amp;$A66,'任务与甘特'!$U$7:$U$50,"&gt;="&amp;$A66)</x:f>
        <x:v>3</x:v>
      </x:c>
      <x:c r="E66" s="33" t="n">
        <x:f>SUMIFS('任务与甘特'!$AJ$7:$AJ$50,'任务与甘特'!$T$7:$T$50,"&lt;="&amp;$A66,'任务与甘特'!$U$7:$U$50,"&gt;="&amp;$A66)</x:f>
        <x:v>3</x:v>
      </x:c>
      <x:c r="F66" s="33" t="n">
        <x:f>SUMIFS('任务与甘特'!$AK$7:$AK$50,'任务与甘特'!$T$7:$T$50,"&lt;="&amp;$A66,'任务与甘特'!$U$7:$U$50,"&gt;="&amp;$A66)</x:f>
        <x:v>7</x:v>
      </x:c>
      <x:c r="G66" s="33" t="n">
        <x:f>SUM(C66:F66)</x:f>
        <x:v>19</x:v>
      </x:c>
      <x:c r="H66" s="29" t="str">
        <x:f>IF(MAX(C66:F66)&gt;'项目总表'!$B$55+0.000001,"超负荷","未超上限")</x:f>
        <x:v>未超上限</x:v>
      </x:c>
    </x:row>
    <x:row r="67" ht="58" customHeight="1">
      <x:c r="A67" s="42" t="n">
        <x:f>WORKDAY('项目总表'!$B$15-1,39)</x:f>
        <x:v>46366</x:v>
      </x:c>
      <x:c r="B67" s="29" t="n">
        <x:f>INT((A67-'项目总表'!$B$15)/7)+1</x:f>
        <x:v>8</x:v>
      </x:c>
      <x:c r="C67" s="33" t="n">
        <x:f>SUMIFS('任务与甘特'!$AH$7:$AH$50,'任务与甘特'!$T$7:$T$50,"&lt;="&amp;$A67,'任务与甘特'!$U$7:$U$50,"&gt;="&amp;$A67)</x:f>
        <x:v>5</x:v>
      </x:c>
      <x:c r="D67" s="33" t="n">
        <x:f>SUMIFS('任务与甘特'!$AI$7:$AI$50,'任务与甘特'!$T$7:$T$50,"&lt;="&amp;$A67,'任务与甘特'!$U$7:$U$50,"&gt;="&amp;$A67)</x:f>
        <x:v>0</x:v>
      </x:c>
      <x:c r="E67" s="33" t="n">
        <x:f>SUMIFS('任务与甘特'!$AJ$7:$AJ$50,'任务与甘特'!$T$7:$T$50,"&lt;="&amp;$A67,'任务与甘特'!$U$7:$U$50,"&gt;="&amp;$A67)</x:f>
        <x:v>2</x:v>
      </x:c>
      <x:c r="F67" s="33" t="n">
        <x:f>SUMIFS('任务与甘特'!$AK$7:$AK$50,'任务与甘特'!$T$7:$T$50,"&lt;="&amp;$A67,'任务与甘特'!$U$7:$U$50,"&gt;="&amp;$A67)</x:f>
        <x:v>2</x:v>
      </x:c>
      <x:c r="G67" s="33" t="n">
        <x:f>SUM(C67:F67)</x:f>
        <x:v>9</x:v>
      </x:c>
      <x:c r="H67" s="29" t="str">
        <x:f>IF(MAX(C67:F67)&gt;'项目总表'!$B$55+0.000001,"超负荷","未超上限")</x:f>
        <x:v>未超上限</x:v>
      </x:c>
    </x:row>
    <x:row r="68" ht="58" customHeight="1">
      <x:c r="A68" s="42" t="n">
        <x:f>WORKDAY('项目总表'!$B$15-1,40)</x:f>
        <x:v>46367</x:v>
      </x:c>
      <x:c r="B68" s="29" t="n">
        <x:f>INT((A68-'项目总表'!$B$15)/7)+1</x:f>
        <x:v>8</x:v>
      </x:c>
      <x:c r="C68" s="33" t="n">
        <x:f>SUMIFS('任务与甘特'!$AH$7:$AH$50,'任务与甘特'!$T$7:$T$50,"&lt;="&amp;$A68,'任务与甘特'!$U$7:$U$50,"&gt;="&amp;$A68)</x:f>
        <x:v>8</x:v>
      </x:c>
      <x:c r="D68" s="33" t="n">
        <x:f>SUMIFS('任务与甘特'!$AI$7:$AI$50,'任务与甘特'!$T$7:$T$50,"&lt;="&amp;$A68,'任务与甘特'!$U$7:$U$50,"&gt;="&amp;$A68)</x:f>
        <x:v>2</x:v>
      </x:c>
      <x:c r="E68" s="33" t="n">
        <x:f>SUMIFS('任务与甘特'!$AJ$7:$AJ$50,'任务与甘特'!$T$7:$T$50,"&lt;="&amp;$A68,'任务与甘特'!$U$7:$U$50,"&gt;="&amp;$A68)</x:f>
        <x:v>2</x:v>
      </x:c>
      <x:c r="F68" s="33" t="n">
        <x:f>SUMIFS('任务与甘特'!$AK$7:$AK$50,'任务与甘特'!$T$7:$T$50,"&lt;="&amp;$A68,'任务与甘特'!$U$7:$U$50,"&gt;="&amp;$A68)</x:f>
        <x:v>8</x:v>
      </x:c>
      <x:c r="G68" s="33" t="n">
        <x:f>SUM(C68:F68)</x:f>
        <x:v>20</x:v>
      </x:c>
      <x:c r="H68" s="29" t="str">
        <x:f>IF(MAX(C68:F68)&gt;'项目总表'!$B$55+0.000001,"超负荷","未超上限")</x:f>
        <x:v>未超上限</x:v>
      </x:c>
    </x:row>
    <x:row r="71" ht="28" customHeight="1">
      <x:c r="A71" s="86" t="str">
        <x:v>任务责任、参与与交叉复核矩阵</x:v>
      </x:c>
      <x:c r="B71" s="86" t="str">
        <x:v>任务责任、参与与交叉复核矩阵</x:v>
      </x:c>
      <x:c r="C71" s="86" t="str">
        <x:v>任务责任、参与与交叉复核矩阵</x:v>
      </x:c>
      <x:c r="D71" s="86" t="str">
        <x:v>任务责任、参与与交叉复核矩阵</x:v>
      </x:c>
      <x:c r="E71" s="86" t="str">
        <x:v>任务责任、参与与交叉复核矩阵</x:v>
      </x:c>
      <x:c r="F71" s="86" t="str">
        <x:v>任务责任、参与与交叉复核矩阵</x:v>
      </x:c>
      <x:c r="G71" s="86" t="str">
        <x:v>任务责任、参与与交叉复核矩阵</x:v>
      </x:c>
      <x:c r="H71" s="86" t="str">
        <x:v>任务责任、参与与交叉复核矩阵</x:v>
      </x:c>
      <x:c r="I71" s="86" t="str">
        <x:v>任务责任、参与与交叉复核矩阵</x:v>
      </x:c>
      <x:c r="J71" s="86" t="str">
        <x:v>任务责任、参与与交叉复核矩阵</x:v>
      </x:c>
      <x:c r="K71" s="86" t="str">
        <x:v>任务责任、参与与交叉复核矩阵</x:v>
      </x:c>
      <x:c r="L71" s="86" t="str">
        <x:v>任务责任、参与与交叉复核矩阵</x:v>
      </x:c>
      <x:c r="M71" s="86" t="str">
        <x:v>任务责任、参与与交叉复核矩阵</x:v>
      </x:c>
      <x:c r="N71" s="86" t="str">
        <x:v>任务责任、参与与交叉复核矩阵</x:v>
      </x:c>
      <x:c r="O71" s="86" t="str">
        <x:v>任务责任、参与与交叉复核矩阵</x:v>
      </x:c>
      <x:c r="P71" s="86" t="str">
        <x:v>任务责任、参与与交叉复核矩阵</x:v>
      </x:c>
      <x:c r="Q71" s="86" t="str">
        <x:v>任务责任、参与与交叉复核矩阵</x:v>
      </x:c>
      <x:c r="R71" s="86" t="str">
        <x:v>任务责任、参与与交叉复核矩阵</x:v>
      </x:c>
      <x:c r="S71" s="86" t="str">
        <x:v>任务责任、参与与交叉复核矩阵</x:v>
      </x:c>
    </x:row>
    <x:row r="72" ht="44" customHeight="1">
      <x:c r="A72" s="79" t="str">
        <x:v>R01统筹计划、需求与协调；R02后端与数据；R03前端；R04测试部署兼工具开发。A/R为原责任人并执行，R为已有正工时参与者，I为知会且原任务未分配工时。交接对象引用原交付物。</x:v>
      </x:c>
      <x:c r="B72" s="79" t="str">
        <x:v>R01统筹计划、需求与协调；R02后端与数据；R03前端；R04测试部署兼工具开发。A/R为原责任人并执行，R为已有正工时参与者，I为知会且原任务未分配工时。交接对象引用原交付物。</x:v>
      </x:c>
      <x:c r="C72" s="79" t="str">
        <x:v>R01统筹计划、需求与协调；R02后端与数据；R03前端；R04测试部署兼工具开发。A/R为原责任人并执行，R为已有正工时参与者，I为知会且原任务未分配工时。交接对象引用原交付物。</x:v>
      </x:c>
      <x:c r="D72" s="79" t="str">
        <x:v>R01统筹计划、需求与协调；R02后端与数据；R03前端；R04测试部署兼工具开发。A/R为原责任人并执行，R为已有正工时参与者，I为知会且原任务未分配工时。交接对象引用原交付物。</x:v>
      </x:c>
      <x:c r="E72" s="79" t="str">
        <x:v>R01统筹计划、需求与协调；R02后端与数据；R03前端；R04测试部署兼工具开发。A/R为原责任人并执行，R为已有正工时参与者，I为知会且原任务未分配工时。交接对象引用原交付物。</x:v>
      </x:c>
      <x:c r="F72" s="79" t="str">
        <x:v>R01统筹计划、需求与协调；R02后端与数据；R03前端；R04测试部署兼工具开发。A/R为原责任人并执行，R为已有正工时参与者，I为知会且原任务未分配工时。交接对象引用原交付物。</x:v>
      </x:c>
      <x:c r="G72" s="79" t="str">
        <x:v>R01统筹计划、需求与协调；R02后端与数据；R03前端；R04测试部署兼工具开发。A/R为原责任人并执行，R为已有正工时参与者，I为知会且原任务未分配工时。交接对象引用原交付物。</x:v>
      </x:c>
      <x:c r="H72" s="79" t="str">
        <x:v>R01统筹计划、需求与协调；R02后端与数据；R03前端；R04测试部署兼工具开发。A/R为原责任人并执行，R为已有正工时参与者，I为知会且原任务未分配工时。交接对象引用原交付物。</x:v>
      </x:c>
      <x:c r="I72" s="79" t="str">
        <x:v>R01统筹计划、需求与协调；R02后端与数据；R03前端；R04测试部署兼工具开发。A/R为原责任人并执行，R为已有正工时参与者，I为知会且原任务未分配工时。交接对象引用原交付物。</x:v>
      </x:c>
      <x:c r="J72" s="79" t="str">
        <x:v>R01统筹计划、需求与协调；R02后端与数据；R03前端；R04测试部署兼工具开发。A/R为原责任人并执行，R为已有正工时参与者，I为知会且原任务未分配工时。交接对象引用原交付物。</x:v>
      </x:c>
      <x:c r="K72" s="79" t="str">
        <x:v>R01统筹计划、需求与协调；R02后端与数据；R03前端；R04测试部署兼工具开发。A/R为原责任人并执行，R为已有正工时参与者，I为知会且原任务未分配工时。交接对象引用原交付物。</x:v>
      </x:c>
      <x:c r="L72" s="79" t="str">
        <x:v>R01统筹计划、需求与协调；R02后端与数据；R03前端；R04测试部署兼工具开发。A/R为原责任人并执行，R为已有正工时参与者，I为知会且原任务未分配工时。交接对象引用原交付物。</x:v>
      </x:c>
      <x:c r="M72" s="79" t="str">
        <x:v>R01统筹计划、需求与协调；R02后端与数据；R03前端；R04测试部署兼工具开发。A/R为原责任人并执行，R为已有正工时参与者，I为知会且原任务未分配工时。交接对象引用原交付物。</x:v>
      </x:c>
      <x:c r="N72" s="79" t="str">
        <x:v>R01统筹计划、需求与协调；R02后端与数据；R03前端；R04测试部署兼工具开发。A/R为原责任人并执行，R为已有正工时参与者，I为知会且原任务未分配工时。交接对象引用原交付物。</x:v>
      </x:c>
      <x:c r="O72" s="79" t="str">
        <x:v>R01统筹计划、需求与协调；R02后端与数据；R03前端；R04测试部署兼工具开发。A/R为原责任人并执行，R为已有正工时参与者，I为知会且原任务未分配工时。交接对象引用原交付物。</x:v>
      </x:c>
      <x:c r="P72" s="79" t="str">
        <x:v>R01统筹计划、需求与协调；R02后端与数据；R03前端；R04测试部署兼工具开发。A/R为原责任人并执行，R为已有正工时参与者，I为知会且原任务未分配工时。交接对象引用原交付物。</x:v>
      </x:c>
      <x:c r="Q72" s="79" t="str">
        <x:v>R01统筹计划、需求与协调；R02后端与数据；R03前端；R04测试部署兼工具开发。A/R为原责任人并执行，R为已有正工时参与者，I为知会且原任务未分配工时。交接对象引用原交付物。</x:v>
      </x:c>
      <x:c r="R72" s="79" t="str">
        <x:v>R01统筹计划、需求与协调；R02后端与数据；R03前端；R04测试部署兼工具开发。A/R为原责任人并执行，R为已有正工时参与者，I为知会且原任务未分配工时。交接对象引用原交付物。</x:v>
      </x:c>
      <x:c r="S72" s="79" t="str">
        <x:v>R01统筹计划、需求与协调；R02后端与数据；R03前端；R04测试部署兼工具开发。A/R为原责任人并执行，R为已有正工时参与者，I为知会且原任务未分配工时。交接对象引用原交付物。</x:v>
      </x:c>
    </x:row>
    <x:row r="74" ht="46" customHeight="1">
      <x:c r="A74" s="86" t="str">
        <x:v>WBS</x:v>
      </x:c>
      <x:c r="B74" s="86" t="str">
        <x:v>任务</x:v>
      </x:c>
      <x:c r="C74" s="86" t="str">
        <x:v>任务</x:v>
      </x:c>
      <x:c r="D74" s="86" t="str">
        <x:v>任务</x:v>
      </x:c>
      <x:c r="E74" s="86" t="str">
        <x:v>原责任人</x:v>
      </x:c>
      <x:c r="F74" s="86" t="str">
        <x:v>原责任人</x:v>
      </x:c>
      <x:c r="G74" s="86" t="str">
        <x:v>R01</x:v>
      </x:c>
      <x:c r="H74" s="86" t="str">
        <x:v>R02</x:v>
      </x:c>
      <x:c r="I74" s="86" t="str">
        <x:v>R03</x:v>
      </x:c>
      <x:c r="J74" s="86" t="str">
        <x:v>R04</x:v>
      </x:c>
      <x:c r="K74" s="86" t="str">
        <x:v>牵头交叉复核</x:v>
      </x:c>
      <x:c r="L74" s="86" t="str">
        <x:v>牵头交叉复核</x:v>
      </x:c>
      <x:c r="M74" s="86" t="str">
        <x:v>复核重点</x:v>
      </x:c>
      <x:c r="N74" s="86" t="str">
        <x:v>复核重点</x:v>
      </x:c>
      <x:c r="O74" s="86" t="str">
        <x:v>复核重点</x:v>
      </x:c>
      <x:c r="P74" s="86" t="str">
        <x:v>复核重点</x:v>
      </x:c>
      <x:c r="Q74" s="86" t="str">
        <x:v>交接/复核对象</x:v>
      </x:c>
      <x:c r="R74" s="86" t="str">
        <x:v>交接/复核对象</x:v>
      </x:c>
      <x:c r="S74" s="86" t="str">
        <x:v>交接/复核对象</x:v>
      </x:c>
    </x:row>
    <x:row r="75" ht="72" customHeight="1">
      <x:c r="A75" s="79" t="str">
        <x:f>'任务与甘特'!A7</x:f>
        <x:v>T1.1</x:v>
      </x:c>
      <x:c r="B75" s="79" t="str">
        <x:f>'任务与甘特'!B7</x:f>
        <x:v>核对需求范围与覆盖</x:v>
      </x:c>
      <x:c r="C75" s="79"/>
      <x:c r="D75" s="79"/>
      <x:c r="E75" s="79" t="str">
        <x:f>'任务与甘特'!R7</x:f>
        <x:v>R01</x:v>
      </x:c>
      <x:c r="F75" s="79"/>
      <x:c r="G75" s="79" t="str">
        <x:f>IF($E75="R01","A/R",IF(ISNUMBER('任务与甘特'!Y7),IF('任务与甘特'!Y7&gt;0,"R","I"),"待确认"))</x:f>
        <x:v>A/R</x:v>
      </x:c>
      <x:c r="H75" s="79" t="str">
        <x:f>IF($E75="R02","A/R",IF(ISNUMBER('任务与甘特'!Z7),IF('任务与甘特'!Z7&gt;0,"R","I"),"待确认"))</x:f>
        <x:v>R</x:v>
      </x:c>
      <x:c r="I75" s="79" t="str">
        <x:f>IF($E75="R03","A/R",IF(ISNUMBER('任务与甘特'!AA7),IF('任务与甘特'!AA7&gt;0,"R","I"),"待确认"))</x:f>
        <x:v>R</x:v>
      </x:c>
      <x:c r="J75" s="79" t="str">
        <x:f>IF($E75="R04","A/R",IF(ISNUMBER('任务与甘特'!AB7),IF('任务与甘特'!AB7&gt;0,"R","I"),"待确认"))</x:f>
        <x:v>R</x:v>
      </x:c>
      <x:c r="K75" s="79" t="str">
        <x:v>R04</x:v>
      </x:c>
      <x:c r="L75" s="79" t="str">
        <x:v>R04</x:v>
      </x:c>
      <x:c r="M75" s="79" t="str">
        <x:v>逐项核对43项需求、WBS和AC；登记歧义及决定。</x:v>
      </x:c>
      <x:c r="N75" s="79" t="str">
        <x:v>逐项核对43项需求、WBS和AC；登记歧义及决定。</x:v>
      </x:c>
      <x:c r="O75" s="79" t="str">
        <x:v>逐项核对43项需求、WBS和AC；登记歧义及决定。</x:v>
      </x:c>
      <x:c r="P75" s="79" t="str">
        <x:v>逐项核对43项需求、WBS和AC；登记歧义及决定。</x:v>
      </x:c>
      <x:c r="Q75" s="79" t="str">
        <x:f>'任务与甘特'!P7</x:f>
        <x:v>范围说明与需求覆盖矩阵</x:v>
      </x:c>
      <x:c r="R75" s="79"/>
      <x:c r="S75" s="79"/>
    </x:row>
    <x:row r="76" ht="72" customHeight="1">
      <x:c r="A76" s="79" t="str">
        <x:f>'任务与甘特'!A8</x:f>
        <x:v>T1.2</x:v>
      </x:c>
      <x:c r="B76" s="79" t="str">
        <x:f>'任务与甘特'!B8</x:f>
        <x:v>形成WBS与项目计划初稿</x:v>
      </x:c>
      <x:c r="C76" s="79"/>
      <x:c r="D76" s="79"/>
      <x:c r="E76" s="79" t="str">
        <x:f>'任务与甘特'!R8</x:f>
        <x:v>R01</x:v>
      </x:c>
      <x:c r="F76" s="79"/>
      <x:c r="G76" s="79" t="str">
        <x:f>IF($E76="R01","A/R",IF(ISNUMBER('任务与甘特'!Y8),IF('任务与甘特'!Y8&gt;0,"R","I"),"待确认"))</x:f>
        <x:v>A/R</x:v>
      </x:c>
      <x:c r="H76" s="79" t="str">
        <x:f>IF($E76="R02","A/R",IF(ISNUMBER('任务与甘特'!Z8),IF('任务与甘特'!Z8&gt;0,"R","I"),"待确认"))</x:f>
        <x:v>I</x:v>
      </x:c>
      <x:c r="I76" s="79" t="str">
        <x:f>IF($E76="R03","A/R",IF(ISNUMBER('任务与甘特'!AA8),IF('任务与甘特'!AA8&gt;0,"R","I"),"待确认"))</x:f>
        <x:v>I</x:v>
      </x:c>
      <x:c r="J76" s="79" t="str">
        <x:f>IF($E76="R04","A/R",IF(ISNUMBER('任务与甘特'!AB8),IF('任务与甘特'!AB8&gt;0,"R","I"),"待确认"))</x:f>
        <x:v>R</x:v>
      </x:c>
      <x:c r="K76" s="79" t="str">
        <x:v>R04</x:v>
      </x:c>
      <x:c r="L76" s="79" t="str">
        <x:v>R04</x:v>
      </x:c>
      <x:c r="M76" s="79" t="str">
        <x:v>计划明确质量目标、活动、责任、证据及容量假设。</x:v>
      </x:c>
      <x:c r="N76" s="79" t="str">
        <x:v>计划明确质量目标、活动、责任、证据及容量假设。</x:v>
      </x:c>
      <x:c r="O76" s="79" t="str">
        <x:v>计划明确质量目标、活动、责任、证据及容量假设。</x:v>
      </x:c>
      <x:c r="P76" s="79" t="str">
        <x:v>计划明确质量目标、活动、责任、证据及容量假设。</x:v>
      </x:c>
      <x:c r="Q76" s="79" t="str">
        <x:f>'任务与甘特'!P8</x:f>
        <x:v>范围、进度、资源、成本、质量计划</x:v>
      </x:c>
      <x:c r="R76" s="79"/>
      <x:c r="S76" s="79"/>
    </x:row>
    <x:row r="77" ht="72" customHeight="1">
      <x:c r="A77" s="79" t="str">
        <x:f>'任务与甘特'!A9</x:f>
        <x:v>T1.3</x:v>
      </x:c>
      <x:c r="B77" s="79" t="str">
        <x:f>'任务与甘特'!B9</x:f>
        <x:v>编写测试大纲与合成数据方案</x:v>
      </x:c>
      <x:c r="C77" s="79"/>
      <x:c r="D77" s="79"/>
      <x:c r="E77" s="79" t="str">
        <x:f>'任务与甘特'!R9</x:f>
        <x:v>R04</x:v>
      </x:c>
      <x:c r="F77" s="79"/>
      <x:c r="G77" s="79" t="str">
        <x:f>IF($E77="R01","A/R",IF(ISNUMBER('任务与甘特'!Y9),IF('任务与甘特'!Y9&gt;0,"R","I"),"待确认"))</x:f>
        <x:v>R</x:v>
      </x:c>
      <x:c r="H77" s="79" t="str">
        <x:f>IF($E77="R02","A/R",IF(ISNUMBER('任务与甘特'!Z9),IF('任务与甘特'!Z9&gt;0,"R","I"),"待确认"))</x:f>
        <x:v>I</x:v>
      </x:c>
      <x:c r="I77" s="79" t="str">
        <x:f>IF($E77="R03","A/R",IF(ISNUMBER('任务与甘特'!AA9),IF('任务与甘特'!AA9&gt;0,"R","I"),"待确认"))</x:f>
        <x:v>I</x:v>
      </x:c>
      <x:c r="J77" s="79" t="str">
        <x:f>IF($E77="R04","A/R",IF(ISNUMBER('任务与甘特'!AB9),IF('任务与甘特'!AB9&gt;0,"R","I"),"待确认"))</x:f>
        <x:v>A/R</x:v>
      </x:c>
      <x:c r="K77" s="79" t="str">
        <x:v>R01</x:v>
      </x:c>
      <x:c r="L77" s="79" t="str">
        <x:v>R01</x:v>
      </x:c>
      <x:c r="M77" s="79" t="str">
        <x:v>实现前评审测试大纲、数据、必需用例与证据规则。</x:v>
      </x:c>
      <x:c r="N77" s="79" t="str">
        <x:v>实现前评审测试大纲、数据、必需用例与证据规则。</x:v>
      </x:c>
      <x:c r="O77" s="79" t="str">
        <x:v>实现前评审测试大纲、数据、必需用例与证据规则。</x:v>
      </x:c>
      <x:c r="P77" s="79" t="str">
        <x:v>实现前评审测试大纲、数据、必需用例与证据规则。</x:v>
      </x:c>
      <x:c r="Q77" s="79" t="str">
        <x:f>'任务与甘特'!P9</x:f>
        <x:v>测试大纲、验收数据与预期答案</x:v>
      </x:c>
      <x:c r="R77" s="79"/>
      <x:c r="S77" s="79"/>
    </x:row>
    <x:row r="78" ht="72" customHeight="1">
      <x:c r="A78" s="79" t="str">
        <x:f>'任务与甘特'!A10</x:f>
        <x:v>T2.1</x:v>
      </x:c>
      <x:c r="B78" s="79" t="str">
        <x:f>'任务与甘特'!B10</x:f>
        <x:v>总体架构与模块设计</x:v>
      </x:c>
      <x:c r="C78" s="79"/>
      <x:c r="D78" s="79"/>
      <x:c r="E78" s="79" t="str">
        <x:f>'任务与甘特'!R10</x:f>
        <x:v>R02</x:v>
      </x:c>
      <x:c r="F78" s="79"/>
      <x:c r="G78" s="79" t="str">
        <x:f>IF($E78="R01","A/R",IF(ISNUMBER('任务与甘特'!Y10),IF('任务与甘特'!Y10&gt;0,"R","I"),"待确认"))</x:f>
        <x:v>R</x:v>
      </x:c>
      <x:c r="H78" s="79" t="str">
        <x:f>IF($E78="R02","A/R",IF(ISNUMBER('任务与甘特'!Z10),IF('任务与甘特'!Z10&gt;0,"R","I"),"待确认"))</x:f>
        <x:v>A/R</x:v>
      </x:c>
      <x:c r="I78" s="79" t="str">
        <x:f>IF($E78="R03","A/R",IF(ISNUMBER('任务与甘特'!AA10),IF('任务与甘特'!AA10&gt;0,"R","I"),"待确认"))</x:f>
        <x:v>R</x:v>
      </x:c>
      <x:c r="J78" s="79" t="str">
        <x:f>IF($E78="R04","A/R",IF(ISNUMBER('任务与甘特'!AB10),IF('任务与甘特'!AB10&gt;0,"R","I"),"待确认"))</x:f>
        <x:v>R</x:v>
      </x:c>
      <x:c r="K78" s="79" t="str">
        <x:v>R04</x:v>
      </x:c>
      <x:c r="L78" s="79" t="str">
        <x:v>R04</x:v>
      </x:c>
      <x:c r="M78" s="79" t="str">
        <x:v>设计、接口、状态、权限及性能前提交叉复核；版本/CR真实对应。</x:v>
      </x:c>
      <x:c r="N78" s="79" t="str">
        <x:v>设计、接口、状态、权限及性能前提交叉复核；版本/CR真实对应。</x:v>
      </x:c>
      <x:c r="O78" s="79" t="str">
        <x:v>设计、接口、状态、权限及性能前提交叉复核；版本/CR真实对应。</x:v>
      </x:c>
      <x:c r="P78" s="79" t="str">
        <x:v>设计、接口、状态、权限及性能前提交叉复核；版本/CR真实对应。</x:v>
      </x:c>
      <x:c r="Q78" s="79" t="str">
        <x:f>'任务与甘特'!P10</x:f>
        <x:v>总体设计与模块接口说明</x:v>
      </x:c>
      <x:c r="R78" s="79"/>
      <x:c r="S78" s="79"/>
    </x:row>
    <x:row r="79" ht="72" customHeight="1">
      <x:c r="A79" s="79" t="str">
        <x:f>'任务与甘特'!A11</x:f>
        <x:v>T2.2</x:v>
      </x:c>
      <x:c r="B79" s="79" t="str">
        <x:f>'任务与甘特'!B11</x:f>
        <x:v>数据模型、版本与事务设计</x:v>
      </x:c>
      <x:c r="C79" s="79"/>
      <x:c r="D79" s="79"/>
      <x:c r="E79" s="79" t="str">
        <x:f>'任务与甘特'!R11</x:f>
        <x:v>R02</x:v>
      </x:c>
      <x:c r="F79" s="79"/>
      <x:c r="G79" s="79" t="str">
        <x:f>IF($E79="R01","A/R",IF(ISNUMBER('任务与甘特'!Y11),IF('任务与甘特'!Y11&gt;0,"R","I"),"待确认"))</x:f>
        <x:v>R</x:v>
      </x:c>
      <x:c r="H79" s="79" t="str">
        <x:f>IF($E79="R02","A/R",IF(ISNUMBER('任务与甘特'!Z11),IF('任务与甘特'!Z11&gt;0,"R","I"),"待确认"))</x:f>
        <x:v>A/R</x:v>
      </x:c>
      <x:c r="I79" s="79" t="str">
        <x:f>IF($E79="R03","A/R",IF(ISNUMBER('任务与甘特'!AA11),IF('任务与甘特'!AA11&gt;0,"R","I"),"待确认"))</x:f>
        <x:v>I</x:v>
      </x:c>
      <x:c r="J79" s="79" t="str">
        <x:f>IF($E79="R04","A/R",IF(ISNUMBER('任务与甘特'!AB11),IF('任务与甘特'!AB11&gt;0,"R","I"),"待确认"))</x:f>
        <x:v>I</x:v>
      </x:c>
      <x:c r="K79" s="79" t="str">
        <x:v>R01</x:v>
      </x:c>
      <x:c r="L79" s="79" t="str">
        <x:v>R01</x:v>
      </x:c>
      <x:c r="M79" s="79" t="str">
        <x:v>设计、接口、状态、权限及性能前提交叉复核；版本/CR真实对应。</x:v>
      </x:c>
      <x:c r="N79" s="79" t="str">
        <x:v>设计、接口、状态、权限及性能前提交叉复核；版本/CR真实对应。</x:v>
      </x:c>
      <x:c r="O79" s="79" t="str">
        <x:v>设计、接口、状态、权限及性能前提交叉复核；版本/CR真实对应。</x:v>
      </x:c>
      <x:c r="P79" s="79" t="str">
        <x:v>设计、接口、状态、权限及性能前提交叉复核；版本/CR真实对应。</x:v>
      </x:c>
      <x:c r="Q79" s="79" t="str">
        <x:f>'任务与甘特'!P11</x:f>
        <x:v>数据模型、迁移与快照审计设计</x:v>
      </x:c>
      <x:c r="R79" s="79"/>
      <x:c r="S79" s="79"/>
    </x:row>
    <x:row r="80" ht="72" customHeight="1">
      <x:c r="A80" s="79" t="str">
        <x:f>'任务与甘特'!A12</x:f>
        <x:v>T2.3</x:v>
      </x:c>
      <x:c r="B80" s="79" t="str">
        <x:f>'任务与甘特'!B12</x:f>
        <x:v>内部接口与导出契约设计</x:v>
      </x:c>
      <x:c r="C80" s="79"/>
      <x:c r="D80" s="79"/>
      <x:c r="E80" s="79" t="str">
        <x:f>'任务与甘特'!R12</x:f>
        <x:v>R01</x:v>
      </x:c>
      <x:c r="F80" s="79"/>
      <x:c r="G80" s="79" t="str">
        <x:f>IF($E80="R01","A/R",IF(ISNUMBER('任务与甘特'!Y12),IF('任务与甘特'!Y12&gt;0,"R","I"),"待确认"))</x:f>
        <x:v>A/R</x:v>
      </x:c>
      <x:c r="H80" s="79" t="str">
        <x:f>IF($E80="R02","A/R",IF(ISNUMBER('任务与甘特'!Z12),IF('任务与甘特'!Z12&gt;0,"R","I"),"待确认"))</x:f>
        <x:v>R</x:v>
      </x:c>
      <x:c r="I80" s="79" t="str">
        <x:f>IF($E80="R03","A/R",IF(ISNUMBER('任务与甘特'!AA12),IF('任务与甘特'!AA12&gt;0,"R","I"),"待确认"))</x:f>
        <x:v>R</x:v>
      </x:c>
      <x:c r="J80" s="79" t="str">
        <x:f>IF($E80="R04","A/R",IF(ISNUMBER('任务与甘特'!AB12),IF('任务与甘特'!AB12&gt;0,"R","I"),"待确认"))</x:f>
        <x:v>R</x:v>
      </x:c>
      <x:c r="K80" s="79" t="str">
        <x:v>R04</x:v>
      </x:c>
      <x:c r="L80" s="79" t="str">
        <x:v>R04</x:v>
      </x:c>
      <x:c r="M80" s="79" t="str">
        <x:v>设计、接口、状态、权限及性能前提交叉复核；版本/CR真实对应。</x:v>
      </x:c>
      <x:c r="N80" s="79" t="str">
        <x:v>设计、接口、状态、权限及性能前提交叉复核；版本/CR真实对应。</x:v>
      </x:c>
      <x:c r="O80" s="79" t="str">
        <x:v>设计、接口、状态、权限及性能前提交叉复核；版本/CR真实对应。</x:v>
      </x:c>
      <x:c r="P80" s="79" t="str">
        <x:v>设计、接口、状态、权限及性能前提交叉复核；版本/CR真实对应。</x:v>
      </x:c>
      <x:c r="Q80" s="79" t="str">
        <x:f>'任务与甘特'!P12</x:f>
        <x:v>内部API、导出、监控和MOCK契约</x:v>
      </x:c>
      <x:c r="R80" s="79"/>
      <x:c r="S80" s="79"/>
    </x:row>
    <x:row r="81" ht="72" customHeight="1">
      <x:c r="A81" s="79" t="str">
        <x:f>'任务与甘特'!A13</x:f>
        <x:v>T2.4</x:v>
      </x:c>
      <x:c r="B81" s="79" t="str">
        <x:f>'任务与甘特'!B13</x:f>
        <x:v>确认国家真实交换输入</x:v>
      </x:c>
      <x:c r="C81" s="79"/>
      <x:c r="D81" s="79"/>
      <x:c r="E81" s="79" t="str">
        <x:f>'任务与甘特'!R13</x:f>
        <x:v>R01</x:v>
      </x:c>
      <x:c r="F81" s="79"/>
      <x:c r="G81" s="79" t="str">
        <x:f>IF($E81="R01","A/R",IF(ISNUMBER('任务与甘特'!Y13),IF('任务与甘特'!Y13&gt;0,"R","I"),"待确认"))</x:f>
        <x:v>A/R</x:v>
      </x:c>
      <x:c r="H81" s="79" t="str">
        <x:f>IF($E81="R02","A/R",IF(ISNUMBER('任务与甘特'!Z13),IF('任务与甘特'!Z13&gt;0,"R","I"),"待确认"))</x:f>
        <x:v>R</x:v>
      </x:c>
      <x:c r="I81" s="79" t="str">
        <x:f>IF($E81="R03","A/R",IF(ISNUMBER('任务与甘特'!AA13),IF('任务与甘特'!AA13&gt;0,"R","I"),"待确认"))</x:f>
        <x:v>I</x:v>
      </x:c>
      <x:c r="J81" s="79" t="str">
        <x:f>IF($E81="R04","A/R",IF(ISNUMBER('任务与甘特'!AB13),IF('任务与甘特'!AB13&gt;0,"R","I"),"待确认"))</x:f>
        <x:v>I</x:v>
      </x:c>
      <x:c r="K81" s="79" t="str">
        <x:v>R02</x:v>
      </x:c>
      <x:c r="L81" s="79" t="str">
        <x:v>R02</x:v>
      </x:c>
      <x:c r="M81" s="79" t="str">
        <x:v>设计、接口、状态、权限及性能前提交叉复核；版本/CR真实对应。</x:v>
      </x:c>
      <x:c r="N81" s="79" t="str">
        <x:v>设计、接口、状态、权限及性能前提交叉复核；版本/CR真实对应。</x:v>
      </x:c>
      <x:c r="O81" s="79" t="str">
        <x:v>设计、接口、状态、权限及性能前提交叉复核；版本/CR真实对应。</x:v>
      </x:c>
      <x:c r="P81" s="79" t="str">
        <x:v>设计、接口、状态、权限及性能前提交叉复核；版本/CR真实对应。</x:v>
      </x:c>
      <x:c r="Q81" s="79" t="str">
        <x:f>'任务与甘特'!P13</x:f>
        <x:v>协议版本、端点用途、认证与字段编码映射</x:v>
      </x:c>
      <x:c r="R81" s="79"/>
      <x:c r="S81" s="79"/>
    </x:row>
    <x:row r="82" ht="72" customHeight="1">
      <x:c r="A82" s="79" t="str">
        <x:f>'任务与甘特'!A14</x:f>
        <x:v>T2.5</x:v>
      </x:c>
      <x:c r="B82" s="79" t="str">
        <x:f>'任务与甘特'!B14</x:f>
        <x:v>维护计划与配置版本</x:v>
      </x:c>
      <x:c r="C82" s="79"/>
      <x:c r="D82" s="79"/>
      <x:c r="E82" s="79" t="str">
        <x:f>'任务与甘特'!R14</x:f>
        <x:v>R01</x:v>
      </x:c>
      <x:c r="F82" s="79"/>
      <x:c r="G82" s="79" t="str">
        <x:f>IF($E82="R01","A/R",IF(ISNUMBER('任务与甘特'!Y14),IF('任务与甘特'!Y14&gt;0,"R","I"),"待确认"))</x:f>
        <x:v>A/R</x:v>
      </x:c>
      <x:c r="H82" s="79" t="str">
        <x:f>IF($E82="R02","A/R",IF(ISNUMBER('任务与甘特'!Z14),IF('任务与甘特'!Z14&gt;0,"R","I"),"待确认"))</x:f>
        <x:v>I</x:v>
      </x:c>
      <x:c r="I82" s="79" t="str">
        <x:f>IF($E82="R03","A/R",IF(ISNUMBER('任务与甘特'!AA14),IF('任务与甘特'!AA14&gt;0,"R","I"),"待确认"))</x:f>
        <x:v>I</x:v>
      </x:c>
      <x:c r="J82" s="79" t="str">
        <x:f>IF($E82="R04","A/R",IF(ISNUMBER('任务与甘特'!AB14),IF('任务与甘特'!AB14&gt;0,"R","I"),"待确认"))</x:f>
        <x:v>I</x:v>
      </x:c>
      <x:c r="K82" s="79" t="str">
        <x:v>原阶段评审中抽查</x:v>
      </x:c>
      <x:c r="L82" s="79" t="str">
        <x:v>原阶段评审中抽查</x:v>
      </x:c>
      <x:c r="M82" s="79" t="str">
        <x:v>设计、接口、状态、权限及性能前提交叉复核；版本/CR真实对应。</x:v>
      </x:c>
      <x:c r="N82" s="79" t="str">
        <x:v>设计、接口、状态、权限及性能前提交叉复核；版本/CR真实对应。</x:v>
      </x:c>
      <x:c r="O82" s="79" t="str">
        <x:v>设计、接口、状态、权限及性能前提交叉复核；版本/CR真实对应。</x:v>
      </x:c>
      <x:c r="P82" s="79" t="str">
        <x:v>设计、接口、状态、权限及性能前提交叉复核；版本/CR真实对应。</x:v>
      </x:c>
      <x:c r="Q82" s="79" t="str">
        <x:f>'任务与甘特'!P14</x:f>
        <x:v>计划修订记录、配置和文档版本</x:v>
      </x:c>
      <x:c r="R82" s="79"/>
      <x:c r="S82" s="79"/>
    </x:row>
    <x:row r="83" ht="72" customHeight="1">
      <x:c r="A83" s="79" t="str">
        <x:f>'任务与甘特'!A15</x:f>
        <x:v>T3.1</x:v>
      </x:c>
      <x:c r="B83" s="79" t="str">
        <x:f>'任务与甘特'!B15</x:f>
        <x:v>建立开发与本地集成环境</x:v>
      </x:c>
      <x:c r="C83" s="79"/>
      <x:c r="D83" s="79"/>
      <x:c r="E83" s="79" t="str">
        <x:f>'任务与甘特'!R15</x:f>
        <x:v>R04</x:v>
      </x:c>
      <x:c r="F83" s="79"/>
      <x:c r="G83" s="79" t="str">
        <x:f>IF($E83="R01","A/R",IF(ISNUMBER('任务与甘特'!Y15),IF('任务与甘特'!Y15&gt;0,"R","I"),"待确认"))</x:f>
        <x:v>I</x:v>
      </x:c>
      <x:c r="H83" s="79" t="str">
        <x:f>IF($E83="R02","A/R",IF(ISNUMBER('任务与甘特'!Z15),IF('任务与甘特'!Z15&gt;0,"R","I"),"待确认"))</x:f>
        <x:v>I</x:v>
      </x:c>
      <x:c r="I83" s="79" t="str">
        <x:f>IF($E83="R03","A/R",IF(ISNUMBER('任务与甘特'!AA15),IF('任务与甘特'!AA15&gt;0,"R","I"),"待确认"))</x:f>
        <x:v>R</x:v>
      </x:c>
      <x:c r="J83" s="79" t="str">
        <x:f>IF($E83="R04","A/R",IF(ISNUMBER('任务与甘特'!AB15),IF('任务与甘特'!AB15&gt;0,"R","I"),"待确认"))</x:f>
        <x:v>A/R</x:v>
      </x:c>
      <x:c r="K83" s="79" t="str">
        <x:v>R03</x:v>
      </x:c>
      <x:c r="L83" s="79" t="str">
        <x:v>R03</x:v>
      </x:c>
      <x:c r="M83" s="79" t="str">
        <x:v>小批量提交与集成；非作者复核代码/配置并验证相关失败及边界场景。</x:v>
      </x:c>
      <x:c r="N83" s="79" t="str">
        <x:v>小批量提交与集成；非作者复核代码/配置并验证相关失败及边界场景。</x:v>
      </x:c>
      <x:c r="O83" s="79" t="str">
        <x:v>小批量提交与集成；非作者复核代码/配置并验证相关失败及边界场景。</x:v>
      </x:c>
      <x:c r="P83" s="79" t="str">
        <x:v>小批量提交与集成；非作者复核代码/配置并验证相关失败及边界场景。</x:v>
      </x:c>
      <x:c r="Q83" s="79" t="str">
        <x:f>'任务与甘特'!P15</x:f>
        <x:v>项目骨架、锁定依赖与启动说明</x:v>
      </x:c>
      <x:c r="R83" s="79"/>
      <x:c r="S83" s="79"/>
    </x:row>
    <x:row r="84" ht="72" customHeight="1">
      <x:c r="A84" s="79" t="str">
        <x:f>'任务与甘特'!A16</x:f>
        <x:v>T3.2</x:v>
      </x:c>
      <x:c r="B84" s="79" t="str">
        <x:f>'任务与甘特'!B16</x:f>
        <x:v>实现认证、权限和角色基础</x:v>
      </x:c>
      <x:c r="C84" s="79"/>
      <x:c r="D84" s="79"/>
      <x:c r="E84" s="79" t="str">
        <x:f>'任务与甘特'!R16</x:f>
        <x:v>R01</x:v>
      </x:c>
      <x:c r="F84" s="79"/>
      <x:c r="G84" s="79" t="str">
        <x:f>IF($E84="R01","A/R",IF(ISNUMBER('任务与甘特'!Y16),IF('任务与甘特'!Y16&gt;0,"R","I"),"待确认"))</x:f>
        <x:v>A/R</x:v>
      </x:c>
      <x:c r="H84" s="79" t="str">
        <x:f>IF($E84="R02","A/R",IF(ISNUMBER('任务与甘特'!Z16),IF('任务与甘特'!Z16&gt;0,"R","I"),"待确认"))</x:f>
        <x:v>R</x:v>
      </x:c>
      <x:c r="I84" s="79" t="str">
        <x:f>IF($E84="R03","A/R",IF(ISNUMBER('任务与甘特'!AA16),IF('任务与甘特'!AA16&gt;0,"R","I"),"待确认"))</x:f>
        <x:v>R</x:v>
      </x:c>
      <x:c r="J84" s="79" t="str">
        <x:f>IF($E84="R04","A/R",IF(ISNUMBER('任务与甘特'!AB16),IF('任务与甘特'!AB16&gt;0,"R","I"),"待确认"))</x:f>
        <x:v>R</x:v>
      </x:c>
      <x:c r="K84" s="79" t="str">
        <x:v>R04</x:v>
      </x:c>
      <x:c r="L84" s="79" t="str">
        <x:v>R04</x:v>
      </x:c>
      <x:c r="M84" s="79" t="str">
        <x:v>小批量提交与集成；非作者复核代码/配置并验证相关失败及边界场景。</x:v>
      </x:c>
      <x:c r="N84" s="79" t="str">
        <x:v>小批量提交与集成；非作者复核代码/配置并验证相关失败及边界场景。</x:v>
      </x:c>
      <x:c r="O84" s="79" t="str">
        <x:v>小批量提交与集成；非作者复核代码/配置并验证相关失败及边界场景。</x:v>
      </x:c>
      <x:c r="P84" s="79" t="str">
        <x:v>小批量提交与集成；非作者复核代码/配置并验证相关失败及边界场景。</x:v>
      </x:c>
      <x:c r="Q84" s="79" t="str">
        <x:f>'任务与甘特'!P16</x:f>
        <x:v>会话、范围鉴权、TOTP与角色管理</x:v>
      </x:c>
      <x:c r="R84" s="79"/>
      <x:c r="S84" s="79"/>
    </x:row>
    <x:row r="85" ht="72" customHeight="1">
      <x:c r="A85" s="79" t="str">
        <x:f>'任务与甘特'!A17</x:f>
        <x:v>T3.3</x:v>
      </x:c>
      <x:c r="B85" s="79" t="str">
        <x:f>'任务与甘特'!B17</x:f>
        <x:v>实现字典、地区和基准管理</x:v>
      </x:c>
      <x:c r="C85" s="79"/>
      <x:c r="D85" s="79"/>
      <x:c r="E85" s="79" t="str">
        <x:f>'任务与甘特'!R17</x:f>
        <x:v>R02</x:v>
      </x:c>
      <x:c r="F85" s="79"/>
      <x:c r="G85" s="79" t="str">
        <x:f>IF($E85="R01","A/R",IF(ISNUMBER('任务与甘特'!Y17),IF('任务与甘特'!Y17&gt;0,"R","I"),"待确认"))</x:f>
        <x:v>I</x:v>
      </x:c>
      <x:c r="H85" s="79" t="str">
        <x:f>IF($E85="R02","A/R",IF(ISNUMBER('任务与甘特'!Z17),IF('任务与甘特'!Z17&gt;0,"R","I"),"待确认"))</x:f>
        <x:v>A/R</x:v>
      </x:c>
      <x:c r="I85" s="79" t="str">
        <x:f>IF($E85="R03","A/R",IF(ISNUMBER('任务与甘特'!AA17),IF('任务与甘特'!AA17&gt;0,"R","I"),"待确认"))</x:f>
        <x:v>R</x:v>
      </x:c>
      <x:c r="J85" s="79" t="str">
        <x:f>IF($E85="R04","A/R",IF(ISNUMBER('任务与甘特'!AB17),IF('任务与甘特'!AB17&gt;0,"R","I"),"待确认"))</x:f>
        <x:v>I</x:v>
      </x:c>
      <x:c r="K85" s="79" t="str">
        <x:v>R03</x:v>
      </x:c>
      <x:c r="L85" s="79" t="str">
        <x:v>R03</x:v>
      </x:c>
      <x:c r="M85" s="79" t="str">
        <x:v>小批量提交与集成；非作者复核代码/配置并验证相关失败及边界场景。</x:v>
      </x:c>
      <x:c r="N85" s="79" t="str">
        <x:v>小批量提交与集成；非作者复核代码/配置并验证相关失败及边界场景。</x:v>
      </x:c>
      <x:c r="O85" s="79" t="str">
        <x:v>小批量提交与集成；非作者复核代码/配置并验证相关失败及边界场景。</x:v>
      </x:c>
      <x:c r="P85" s="79" t="str">
        <x:v>小批量提交与集成；非作者复核代码/配置并验证相关失败及边界场景。</x:v>
      </x:c>
      <x:c r="Q85" s="79" t="str">
        <x:f>'任务与甘特'!P17</x:f>
        <x:v>字典地区种子与基准版本功能</x:v>
      </x:c>
      <x:c r="R85" s="79"/>
      <x:c r="S85" s="79"/>
    </x:row>
    <x:row r="86" ht="72" customHeight="1">
      <x:c r="A86" s="79" t="str">
        <x:f>'任务与甘特'!A18</x:f>
        <x:v>T3.4</x:v>
      </x:c>
      <x:c r="B86" s="79" t="str">
        <x:f>'任务与甘特'!B18</x:f>
        <x:v>实现企业资料与备案审批</x:v>
      </x:c>
      <x:c r="C86" s="79"/>
      <x:c r="D86" s="79"/>
      <x:c r="E86" s="79" t="str">
        <x:f>'任务与甘特'!R18</x:f>
        <x:v>R02</x:v>
      </x:c>
      <x:c r="F86" s="79"/>
      <x:c r="G86" s="79" t="str">
        <x:f>IF($E86="R01","A/R",IF(ISNUMBER('任务与甘特'!Y18),IF('任务与甘特'!Y18&gt;0,"R","I"),"待确认"))</x:f>
        <x:v>R</x:v>
      </x:c>
      <x:c r="H86" s="79" t="str">
        <x:f>IF($E86="R02","A/R",IF(ISNUMBER('任务与甘特'!Z18),IF('任务与甘特'!Z18&gt;0,"R","I"),"待确认"))</x:f>
        <x:v>A/R</x:v>
      </x:c>
      <x:c r="I86" s="79" t="str">
        <x:f>IF($E86="R03","A/R",IF(ISNUMBER('任务与甘特'!AA18),IF('任务与甘特'!AA18&gt;0,"R","I"),"待确认"))</x:f>
        <x:v>R</x:v>
      </x:c>
      <x:c r="J86" s="79" t="str">
        <x:f>IF($E86="R04","A/R",IF(ISNUMBER('任务与甘特'!AB18),IF('任务与甘特'!AB18&gt;0,"R","I"),"待确认"))</x:f>
        <x:v>R</x:v>
      </x:c>
      <x:c r="K86" s="79" t="str">
        <x:v>R04</x:v>
      </x:c>
      <x:c r="L86" s="79" t="str">
        <x:v>R04</x:v>
      </x:c>
      <x:c r="M86" s="79" t="str">
        <x:v>小批量提交与集成；非作者复核代码/配置并验证相关失败及边界场景。</x:v>
      </x:c>
      <x:c r="N86" s="79" t="str">
        <x:v>小批量提交与集成；非作者复核代码/配置并验证相关失败及边界场景。</x:v>
      </x:c>
      <x:c r="O86" s="79" t="str">
        <x:v>小批量提交与集成；非作者复核代码/配置并验证相关失败及边界场景。</x:v>
      </x:c>
      <x:c r="P86" s="79" t="str">
        <x:v>小批量提交与集成；非作者复核代码/配置并验证相关失败及边界场景。</x:v>
      </x:c>
      <x:c r="Q86" s="79" t="str">
        <x:f>'任务与甘特'!P18</x:f>
        <x:v>资料草稿、变更备案与版本查询</x:v>
      </x:c>
      <x:c r="R86" s="79"/>
      <x:c r="S86" s="79"/>
    </x:row>
    <x:row r="87" ht="72" customHeight="1">
      <x:c r="A87" s="79" t="str">
        <x:f>'任务与甘特'!A19</x:f>
        <x:v>T3.5</x:v>
      </x:c>
      <x:c r="B87" s="79" t="str">
        <x:f>'任务与甘特'!B19</x:f>
        <x:v>实现月报草稿、校验与提交</x:v>
      </x:c>
      <x:c r="C87" s="79"/>
      <x:c r="D87" s="79"/>
      <x:c r="E87" s="79" t="str">
        <x:f>'任务与甘特'!R19</x:f>
        <x:v>R02</x:v>
      </x:c>
      <x:c r="F87" s="79"/>
      <x:c r="G87" s="79" t="str">
        <x:f>IF($E87="R01","A/R",IF(ISNUMBER('任务与甘特'!Y19),IF('任务与甘特'!Y19&gt;0,"R","I"),"待确认"))</x:f>
        <x:v>R</x:v>
      </x:c>
      <x:c r="H87" s="79" t="str">
        <x:f>IF($E87="R02","A/R",IF(ISNUMBER('任务与甘特'!Z19),IF('任务与甘特'!Z19&gt;0,"R","I"),"待确认"))</x:f>
        <x:v>A/R</x:v>
      </x:c>
      <x:c r="I87" s="79" t="str">
        <x:f>IF($E87="R03","A/R",IF(ISNUMBER('任务与甘特'!AA19),IF('任务与甘特'!AA19&gt;0,"R","I"),"待确认"))</x:f>
        <x:v>R</x:v>
      </x:c>
      <x:c r="J87" s="79" t="str">
        <x:f>IF($E87="R04","A/R",IF(ISNUMBER('任务与甘特'!AB19),IF('任务与甘特'!AB19&gt;0,"R","I"),"待确认"))</x:f>
        <x:v>R</x:v>
      </x:c>
      <x:c r="K87" s="79" t="str">
        <x:v>R04</x:v>
      </x:c>
      <x:c r="L87" s="79" t="str">
        <x:v>R04</x:v>
      </x:c>
      <x:c r="M87" s="79" t="str">
        <x:v>小批量提交与集成；非作者复核代码/配置并验证相关失败及边界场景。</x:v>
      </x:c>
      <x:c r="N87" s="79" t="str">
        <x:v>小批量提交与集成；非作者复核代码/配置并验证相关失败及边界场景。</x:v>
      </x:c>
      <x:c r="O87" s="79" t="str">
        <x:v>小批量提交与集成；非作者复核代码/配置并验证相关失败及边界场景。</x:v>
      </x:c>
      <x:c r="P87" s="79" t="str">
        <x:v>小批量提交与集成；非作者复核代码/配置并验证相关失败及边界场景。</x:v>
      </x:c>
      <x:c r="Q87" s="79" t="str">
        <x:f>'任务与甘特'!P19</x:f>
        <x:v>月报、幂等提交与冻结快照</x:v>
      </x:c>
      <x:c r="R87" s="79"/>
      <x:c r="S87" s="79"/>
    </x:row>
    <x:row r="88" ht="72" customHeight="1">
      <x:c r="A88" s="79" t="str">
        <x:f>'任务与甘特'!A20</x:f>
        <x:v>T3.6</x:v>
      </x:c>
      <x:c r="B88" s="79" t="str">
        <x:f>'任务与甘特'!B20</x:f>
        <x:v>实现市省审核与退回重提</x:v>
      </x:c>
      <x:c r="C88" s="79"/>
      <x:c r="D88" s="79"/>
      <x:c r="E88" s="79" t="str">
        <x:f>'任务与甘特'!R20</x:f>
        <x:v>R02</x:v>
      </x:c>
      <x:c r="F88" s="79"/>
      <x:c r="G88" s="79" t="str">
        <x:f>IF($E88="R01","A/R",IF(ISNUMBER('任务与甘特'!Y20),IF('任务与甘特'!Y20&gt;0,"R","I"),"待确认"))</x:f>
        <x:v>R</x:v>
      </x:c>
      <x:c r="H88" s="79" t="str">
        <x:f>IF($E88="R02","A/R",IF(ISNUMBER('任务与甘特'!Z20),IF('任务与甘特'!Z20&gt;0,"R","I"),"待确认"))</x:f>
        <x:v>A/R</x:v>
      </x:c>
      <x:c r="I88" s="79" t="str">
        <x:f>IF($E88="R03","A/R",IF(ISNUMBER('任务与甘特'!AA20),IF('任务与甘特'!AA20&gt;0,"R","I"),"待确认"))</x:f>
        <x:v>R</x:v>
      </x:c>
      <x:c r="J88" s="79" t="str">
        <x:f>IF($E88="R04","A/R",IF(ISNUMBER('任务与甘特'!AB20),IF('任务与甘特'!AB20&gt;0,"R","I"),"待确认"))</x:f>
        <x:v>R</x:v>
      </x:c>
      <x:c r="K88" s="79" t="str">
        <x:v>R04</x:v>
      </x:c>
      <x:c r="L88" s="79" t="str">
        <x:v>R04</x:v>
      </x:c>
      <x:c r="M88" s="79" t="str">
        <x:v>小批量提交与集成；非作者复核代码/配置并验证相关失败及边界场景。</x:v>
      </x:c>
      <x:c r="N88" s="79" t="str">
        <x:v>小批量提交与集成；非作者复核代码/配置并验证相关失败及边界场景。</x:v>
      </x:c>
      <x:c r="O88" s="79" t="str">
        <x:v>小批量提交与集成；非作者复核代码/配置并验证相关失败及边界场景。</x:v>
      </x:c>
      <x:c r="P88" s="79" t="str">
        <x:v>小批量提交与集成；非作者复核代码/配置并验证相关失败及边界场景。</x:v>
      </x:c>
      <x:c r="Q88" s="79" t="str">
        <x:f>'任务与甘特'!P20</x:f>
        <x:v>审核状态链、退回重提与审计</x:v>
      </x:c>
      <x:c r="R88" s="79"/>
      <x:c r="S88" s="79"/>
    </x:row>
    <x:row r="89" ht="72" customHeight="1">
      <x:c r="A89" s="79" t="str">
        <x:f>'任务与甘特'!A21</x:f>
        <x:v>T3.7</x:v>
      </x:c>
      <x:c r="B89" s="79" t="str">
        <x:f>'任务与甘特'!B21</x:f>
        <x:v>实现调查期与补报授权</x:v>
      </x:c>
      <x:c r="C89" s="79"/>
      <x:c r="D89" s="79"/>
      <x:c r="E89" s="79" t="str">
        <x:f>'任务与甘特'!R21</x:f>
        <x:v>R01</x:v>
      </x:c>
      <x:c r="F89" s="79"/>
      <x:c r="G89" s="79" t="str">
        <x:f>IF($E89="R01","A/R",IF(ISNUMBER('任务与甘特'!Y21),IF('任务与甘特'!Y21&gt;0,"R","I"),"待确认"))</x:f>
        <x:v>A/R</x:v>
      </x:c>
      <x:c r="H89" s="79" t="str">
        <x:f>IF($E89="R02","A/R",IF(ISNUMBER('任务与甘特'!Z21),IF('任务与甘特'!Z21&gt;0,"R","I"),"待确认"))</x:f>
        <x:v>R</x:v>
      </x:c>
      <x:c r="I89" s="79" t="str">
        <x:f>IF($E89="R03","A/R",IF(ISNUMBER('任务与甘特'!AA21),IF('任务与甘特'!AA21&gt;0,"R","I"),"待确认"))</x:f>
        <x:v>R</x:v>
      </x:c>
      <x:c r="J89" s="79" t="str">
        <x:f>IF($E89="R04","A/R",IF(ISNUMBER('任务与甘特'!AB21),IF('任务与甘特'!AB21&gt;0,"R","I"),"待确认"))</x:f>
        <x:v>R</x:v>
      </x:c>
      <x:c r="K89" s="79" t="str">
        <x:v>R04</x:v>
      </x:c>
      <x:c r="L89" s="79" t="str">
        <x:v>R04</x:v>
      </x:c>
      <x:c r="M89" s="79" t="str">
        <x:v>小批量提交与集成；非作者复核代码/配置并验证相关失败及边界场景。</x:v>
      </x:c>
      <x:c r="N89" s="79" t="str">
        <x:v>小批量提交与集成；非作者复核代码/配置并验证相关失败及边界场景。</x:v>
      </x:c>
      <x:c r="O89" s="79" t="str">
        <x:v>小批量提交与集成；非作者复核代码/配置并验证相关失败及边界场景。</x:v>
      </x:c>
      <x:c r="P89" s="79" t="str">
        <x:v>小批量提交与集成；非作者复核代码/配置并验证相关失败及边界场景。</x:v>
      </x:c>
      <x:c r="Q89" s="79" t="str">
        <x:f>'任务与甘特'!P21</x:f>
        <x:v>调查期配置与补报窗口控制</x:v>
      </x:c>
      <x:c r="R89" s="79"/>
      <x:c r="S89" s="79"/>
    </x:row>
    <x:row r="90" ht="72" customHeight="1">
      <x:c r="A90" s="79" t="str">
        <x:f>'任务与甘特'!A22</x:f>
        <x:v>T3.8</x:v>
      </x:c>
      <x:c r="B90" s="79" t="str">
        <x:f>'任务与甘特'!B22</x:f>
        <x:v>实现独立修订与撤销链</x:v>
      </x:c>
      <x:c r="C90" s="79"/>
      <x:c r="D90" s="79"/>
      <x:c r="E90" s="79" t="str">
        <x:f>'任务与甘特'!R22</x:f>
        <x:v>R01</x:v>
      </x:c>
      <x:c r="F90" s="79"/>
      <x:c r="G90" s="79" t="str">
        <x:f>IF($E90="R01","A/R",IF(ISNUMBER('任务与甘特'!Y22),IF('任务与甘特'!Y22&gt;0,"R","I"),"待确认"))</x:f>
        <x:v>A/R</x:v>
      </x:c>
      <x:c r="H90" s="79" t="str">
        <x:f>IF($E90="R02","A/R",IF(ISNUMBER('任务与甘特'!Z22),IF('任务与甘特'!Z22&gt;0,"R","I"),"待确认"))</x:f>
        <x:v>R</x:v>
      </x:c>
      <x:c r="I90" s="79" t="str">
        <x:f>IF($E90="R03","A/R",IF(ISNUMBER('任务与甘特'!AA22),IF('任务与甘特'!AA22&gt;0,"R","I"),"待确认"))</x:f>
        <x:v>R</x:v>
      </x:c>
      <x:c r="J90" s="79" t="str">
        <x:f>IF($E90="R04","A/R",IF(ISNUMBER('任务与甘特'!AB22),IF('任务与甘特'!AB22&gt;0,"R","I"),"待确认"))</x:f>
        <x:v>R</x:v>
      </x:c>
      <x:c r="K90" s="79" t="str">
        <x:v>R04</x:v>
      </x:c>
      <x:c r="L90" s="79" t="str">
        <x:v>R04</x:v>
      </x:c>
      <x:c r="M90" s="79" t="str">
        <x:v>小批量提交与集成；非作者复核代码/配置并验证相关失败及边界场景。</x:v>
      </x:c>
      <x:c r="N90" s="79" t="str">
        <x:v>小批量提交与集成；非作者复核代码/配置并验证相关失败及边界场景。</x:v>
      </x:c>
      <x:c r="O90" s="79" t="str">
        <x:v>小批量提交与集成；非作者复核代码/配置并验证相关失败及边界场景。</x:v>
      </x:c>
      <x:c r="P90" s="79" t="str">
        <x:v>小批量提交与集成；非作者复核代码/配置并验证相关失败及边界场景。</x:v>
      </x:c>
      <x:c r="Q90" s="79" t="str">
        <x:f>'任务与甘特'!P22</x:f>
        <x:v>修订另存、生效、撤销与日志</x:v>
      </x:c>
      <x:c r="R90" s="79"/>
      <x:c r="S90" s="79"/>
    </x:row>
    <x:row r="91" ht="72" customHeight="1">
      <x:c r="A91" s="79" t="str">
        <x:f>'任务与甘特'!A23</x:f>
        <x:v>T3.9</x:v>
      </x:c>
      <x:c r="B91" s="79" t="str">
        <x:f>'任务与甘特'!B23</x:f>
        <x:v>实现历史浏览和快照查询</x:v>
      </x:c>
      <x:c r="C91" s="79"/>
      <x:c r="D91" s="79"/>
      <x:c r="E91" s="79" t="str">
        <x:f>'任务与甘特'!R23</x:f>
        <x:v>R03</x:v>
      </x:c>
      <x:c r="F91" s="79"/>
      <x:c r="G91" s="79" t="str">
        <x:f>IF($E91="R01","A/R",IF(ISNUMBER('任务与甘特'!Y23),IF('任务与甘特'!Y23&gt;0,"R","I"),"待确认"))</x:f>
        <x:v>R</x:v>
      </x:c>
      <x:c r="H91" s="79" t="str">
        <x:f>IF($E91="R02","A/R",IF(ISNUMBER('任务与甘特'!Z23),IF('任务与甘特'!Z23&gt;0,"R","I"),"待确认"))</x:f>
        <x:v>R</x:v>
      </x:c>
      <x:c r="I91" s="79" t="str">
        <x:f>IF($E91="R03","A/R",IF(ISNUMBER('任务与甘特'!AA23),IF('任务与甘特'!AA23&gt;0,"R","I"),"待确认"))</x:f>
        <x:v>A/R</x:v>
      </x:c>
      <x:c r="J91" s="79" t="str">
        <x:f>IF($E91="R04","A/R",IF(ISNUMBER('任务与甘特'!AB23),IF('任务与甘特'!AB23&gt;0,"R","I"),"待确认"))</x:f>
        <x:v>R</x:v>
      </x:c>
      <x:c r="K91" s="79" t="str">
        <x:v>R04</x:v>
      </x:c>
      <x:c r="L91" s="79" t="str">
        <x:v>R04</x:v>
      </x:c>
      <x:c r="M91" s="79" t="str">
        <x:v>小批量提交与集成；非作者复核代码/配置并验证相关失败及边界场景。</x:v>
      </x:c>
      <x:c r="N91" s="79" t="str">
        <x:v>小批量提交与集成；非作者复核代码/配置并验证相关失败及边界场景。</x:v>
      </x:c>
      <x:c r="O91" s="79" t="str">
        <x:v>小批量提交与集成；非作者复核代码/配置并验证相关失败及边界场景。</x:v>
      </x:c>
      <x:c r="P91" s="79" t="str">
        <x:v>小批量提交与集成；非作者复核代码/配置并验证相关失败及边界场景。</x:v>
      </x:c>
      <x:c r="Q91" s="79" t="str">
        <x:f>'任务与甘特'!P23</x:f>
        <x:v>历史版本与正式提交标记查询</x:v>
      </x:c>
      <x:c r="R91" s="79"/>
      <x:c r="S91" s="79"/>
    </x:row>
    <x:row r="92" ht="72" customHeight="1">
      <x:c r="A92" s="79" t="str">
        <x:f>'任务与甘特'!A24</x:f>
        <x:v>T3.10</x:v>
      </x:c>
      <x:c r="B92" s="79" t="str">
        <x:f>'任务与甘特'!B24</x:f>
        <x:v>实现汇总指标与统计口径</x:v>
      </x:c>
      <x:c r="C92" s="79"/>
      <x:c r="D92" s="79"/>
      <x:c r="E92" s="79" t="str">
        <x:f>'任务与甘特'!R24</x:f>
        <x:v>R02</x:v>
      </x:c>
      <x:c r="F92" s="79"/>
      <x:c r="G92" s="79" t="str">
        <x:f>IF($E92="R01","A/R",IF(ISNUMBER('任务与甘特'!Y24),IF('任务与甘特'!Y24&gt;0,"R","I"),"待确认"))</x:f>
        <x:v>R</x:v>
      </x:c>
      <x:c r="H92" s="79" t="str">
        <x:f>IF($E92="R02","A/R",IF(ISNUMBER('任务与甘特'!Z24),IF('任务与甘特'!Z24&gt;0,"R","I"),"待确认"))</x:f>
        <x:v>A/R</x:v>
      </x:c>
      <x:c r="I92" s="79" t="str">
        <x:f>IF($E92="R03","A/R",IF(ISNUMBER('任务与甘特'!AA24),IF('任务与甘特'!AA24&gt;0,"R","I"),"待确认"))</x:f>
        <x:v>R</x:v>
      </x:c>
      <x:c r="J92" s="79" t="str">
        <x:f>IF($E92="R04","A/R",IF(ISNUMBER('任务与甘特'!AB24),IF('任务与甘特'!AB24&gt;0,"R","I"),"待确认"))</x:f>
        <x:v>R</x:v>
      </x:c>
      <x:c r="K92" s="79" t="str">
        <x:v>R04</x:v>
      </x:c>
      <x:c r="L92" s="79" t="str">
        <x:v>R04</x:v>
      </x:c>
      <x:c r="M92" s="79" t="str">
        <x:v>小批量提交与集成；非作者复核代码/配置并验证相关失败及边界场景。</x:v>
      </x:c>
      <x:c r="N92" s="79" t="str">
        <x:v>小批量提交与集成；非作者复核代码/配置并验证相关失败及边界场景。</x:v>
      </x:c>
      <x:c r="O92" s="79" t="str">
        <x:v>小批量提交与集成；非作者复核代码/配置并验证相关失败及边界场景。</x:v>
      </x:c>
      <x:c r="P92" s="79" t="str">
        <x:v>小批量提交与集成；非作者复核代码/配置并验证相关失败及边界场景。</x:v>
      </x:c>
      <x:c r="Q92" s="79" t="str">
        <x:f>'任务与甘特'!P24</x:f>
        <x:v>原始/修订口径汇总与公式复算</x:v>
      </x:c>
      <x:c r="R92" s="79"/>
      <x:c r="S92" s="79"/>
    </x:row>
    <x:row r="93" ht="72" customHeight="1">
      <x:c r="A93" s="79" t="str">
        <x:f>'任务与甘特'!A25</x:f>
        <x:v>T3.11</x:v>
      </x:c>
      <x:c r="B93" s="79" t="str">
        <x:f>'任务与甘特'!B25</x:f>
        <x:v>实现条件查询与XLSX导出</x:v>
      </x:c>
      <x:c r="C93" s="79"/>
      <x:c r="D93" s="79"/>
      <x:c r="E93" s="79" t="str">
        <x:f>'任务与甘特'!R25</x:f>
        <x:v>R03</x:v>
      </x:c>
      <x:c r="F93" s="79"/>
      <x:c r="G93" s="79" t="str">
        <x:f>IF($E93="R01","A/R",IF(ISNUMBER('任务与甘特'!Y25),IF('任务与甘特'!Y25&gt;0,"R","I"),"待确认"))</x:f>
        <x:v>I</x:v>
      </x:c>
      <x:c r="H93" s="79" t="str">
        <x:f>IF($E93="R02","A/R",IF(ISNUMBER('任务与甘特'!Z25),IF('任务与甘特'!Z25&gt;0,"R","I"),"待确认"))</x:f>
        <x:v>R</x:v>
      </x:c>
      <x:c r="I93" s="79" t="str">
        <x:f>IF($E93="R03","A/R",IF(ISNUMBER('任务与甘特'!AA25),IF('任务与甘特'!AA25&gt;0,"R","I"),"待确认"))</x:f>
        <x:v>A/R</x:v>
      </x:c>
      <x:c r="J93" s="79" t="str">
        <x:f>IF($E93="R04","A/R",IF(ISNUMBER('任务与甘特'!AB25),IF('任务与甘特'!AB25&gt;0,"R","I"),"待确认"))</x:f>
        <x:v>R</x:v>
      </x:c>
      <x:c r="K93" s="79" t="str">
        <x:v>R04</x:v>
      </x:c>
      <x:c r="L93" s="79" t="str">
        <x:v>R04</x:v>
      </x:c>
      <x:c r="M93" s="79" t="str">
        <x:v>小批量提交与集成；非作者复核代码/配置并验证相关失败及边界场景。</x:v>
      </x:c>
      <x:c r="N93" s="79" t="str">
        <x:v>小批量提交与集成；非作者复核代码/配置并验证相关失败及边界场景。</x:v>
      </x:c>
      <x:c r="O93" s="79" t="str">
        <x:v>小批量提交与集成；非作者复核代码/配置并验证相关失败及边界场景。</x:v>
      </x:c>
      <x:c r="P93" s="79" t="str">
        <x:v>小批量提交与集成；非作者复核代码/配置并验证相关失败及边界场景。</x:v>
      </x:c>
      <x:c r="Q93" s="79" t="str">
        <x:f>'任务与甘特'!P25</x:f>
        <x:v>13条件查询、异步导出与鉴权下载</x:v>
      </x:c>
      <x:c r="R93" s="79"/>
      <x:c r="S93" s="79"/>
    </x:row>
    <x:row r="94" ht="72" customHeight="1">
      <x:c r="A94" s="79" t="str">
        <x:f>'任务与甘特'!A26</x:f>
        <x:v>T3.12</x:v>
      </x:c>
      <x:c r="B94" s="79" t="str">
        <x:f>'任务与甘特'!B26</x:f>
        <x:v>实现各市取样与地区筛选</x:v>
      </x:c>
      <x:c r="C94" s="79"/>
      <x:c r="D94" s="79"/>
      <x:c r="E94" s="79" t="str">
        <x:f>'任务与甘特'!R26</x:f>
        <x:v>R03</x:v>
      </x:c>
      <x:c r="F94" s="79"/>
      <x:c r="G94" s="79" t="str">
        <x:f>IF($E94="R01","A/R",IF(ISNUMBER('任务与甘特'!Y26),IF('任务与甘特'!Y26&gt;0,"R","I"),"待确认"))</x:f>
        <x:v>I</x:v>
      </x:c>
      <x:c r="H94" s="79" t="str">
        <x:f>IF($E94="R02","A/R",IF(ISNUMBER('任务与甘特'!Z26),IF('任务与甘特'!Z26&gt;0,"R","I"),"待确认"))</x:f>
        <x:v>R</x:v>
      </x:c>
      <x:c r="I94" s="79" t="str">
        <x:f>IF($E94="R03","A/R",IF(ISNUMBER('任务与甘特'!AA26),IF('任务与甘特'!AA26&gt;0,"R","I"),"待确认"))</x:f>
        <x:v>A/R</x:v>
      </x:c>
      <x:c r="J94" s="79" t="str">
        <x:f>IF($E94="R04","A/R",IF(ISNUMBER('任务与甘特'!AB26),IF('任务与甘特'!AB26&gt;0,"R","I"),"待确认"))</x:f>
        <x:v>R</x:v>
      </x:c>
      <x:c r="K94" s="79" t="str">
        <x:v>R04</x:v>
      </x:c>
      <x:c r="L94" s="79" t="str">
        <x:v>R04</x:v>
      </x:c>
      <x:c r="M94" s="79" t="str">
        <x:v>小批量提交与集成；非作者复核代码/配置并验证相关失败及边界场景。</x:v>
      </x:c>
      <x:c r="N94" s="79" t="str">
        <x:v>小批量提交与集成；非作者复核代码/配置并验证相关失败及边界场景。</x:v>
      </x:c>
      <x:c r="O94" s="79" t="str">
        <x:v>小批量提交与集成；非作者复核代码/配置并验证相关失败及边界场景。</x:v>
      </x:c>
      <x:c r="P94" s="79" t="str">
        <x:v>小批量提交与集成；非作者复核代码/配置并验证相关失败及边界场景。</x:v>
      </x:c>
      <x:c r="Q94" s="79" t="str">
        <x:f>'任务与甘特'!P26</x:f>
        <x:v>备案/有效上报取样与同源图表</x:v>
      </x:c>
      <x:c r="R94" s="79"/>
      <x:c r="S94" s="79"/>
    </x:row>
    <x:row r="95" ht="72" customHeight="1">
      <x:c r="A95" s="79" t="str">
        <x:f>'任务与甘特'!A27</x:f>
        <x:v>T3.13</x:v>
      </x:c>
      <x:c r="B95" s="79" t="str">
        <x:f>'任务与甘特'!B27</x:f>
        <x:v>实现两期比较与连续期趋势</x:v>
      </x:c>
      <x:c r="C95" s="79"/>
      <x:c r="D95" s="79"/>
      <x:c r="E95" s="79" t="str">
        <x:f>'任务与甘特'!R27</x:f>
        <x:v>R01</x:v>
      </x:c>
      <x:c r="F95" s="79"/>
      <x:c r="G95" s="79" t="str">
        <x:f>IF($E95="R01","A/R",IF(ISNUMBER('任务与甘特'!Y27),IF('任务与甘特'!Y27&gt;0,"R","I"),"待确认"))</x:f>
        <x:v>A/R</x:v>
      </x:c>
      <x:c r="H95" s="79" t="str">
        <x:f>IF($E95="R02","A/R",IF(ISNUMBER('任务与甘特'!Z27),IF('任务与甘特'!Z27&gt;0,"R","I"),"待确认"))</x:f>
        <x:v>I</x:v>
      </x:c>
      <x:c r="I95" s="79" t="str">
        <x:f>IF($E95="R03","A/R",IF(ISNUMBER('任务与甘特'!AA27),IF('任务与甘特'!AA27&gt;0,"R","I"),"待确认"))</x:f>
        <x:v>R</x:v>
      </x:c>
      <x:c r="J95" s="79" t="str">
        <x:f>IF($E95="R04","A/R",IF(ISNUMBER('任务与甘特'!AB27),IF('任务与甘特'!AB27&gt;0,"R","I"),"待确认"))</x:f>
        <x:v>R</x:v>
      </x:c>
      <x:c r="K95" s="79" t="str">
        <x:v>R04</x:v>
      </x:c>
      <x:c r="L95" s="79" t="str">
        <x:v>R04</x:v>
      </x:c>
      <x:c r="M95" s="79" t="str">
        <x:v>小批量提交与集成；非作者复核代码/配置并验证相关失败及边界场景。</x:v>
      </x:c>
      <x:c r="N95" s="79" t="str">
        <x:v>小批量提交与集成；非作者复核代码/配置并验证相关失败及边界场景。</x:v>
      </x:c>
      <x:c r="O95" s="79" t="str">
        <x:v>小批量提交与集成；非作者复核代码/配置并验证相关失败及边界场景。</x:v>
      </x:c>
      <x:c r="P95" s="79" t="str">
        <x:v>小批量提交与集成；非作者复核代码/配置并验证相关失败及边界场景。</x:v>
      </x:c>
      <x:c r="Q95" s="79" t="str">
        <x:f>'任务与甘特'!P27</x:f>
        <x:v>样本比较、趋势和缺失语义</x:v>
      </x:c>
      <x:c r="R95" s="79"/>
      <x:c r="S95" s="79"/>
    </x:row>
    <x:row r="96" ht="72" customHeight="1">
      <x:c r="A96" s="79" t="str">
        <x:f>'任务与甘特'!A28</x:f>
        <x:v>T3.14</x:v>
      </x:c>
      <x:c r="B96" s="79" t="str">
        <x:f>'任务与甘特'!B28</x:f>
        <x:v>实现通知与用户管理界面</x:v>
      </x:c>
      <x:c r="C96" s="79"/>
      <x:c r="D96" s="79"/>
      <x:c r="E96" s="79" t="str">
        <x:f>'任务与甘特'!R28</x:f>
        <x:v>R03</x:v>
      </x:c>
      <x:c r="F96" s="79"/>
      <x:c r="G96" s="79" t="str">
        <x:f>IF($E96="R01","A/R",IF(ISNUMBER('任务与甘特'!Y28),IF('任务与甘特'!Y28&gt;0,"R","I"),"待确认"))</x:f>
        <x:v>I</x:v>
      </x:c>
      <x:c r="H96" s="79" t="str">
        <x:f>IF($E96="R02","A/R",IF(ISNUMBER('任务与甘特'!Z28),IF('任务与甘特'!Z28&gt;0,"R","I"),"待确认"))</x:f>
        <x:v>R</x:v>
      </x:c>
      <x:c r="I96" s="79" t="str">
        <x:f>IF($E96="R03","A/R",IF(ISNUMBER('任务与甘特'!AA28),IF('任务与甘特'!AA28&gt;0,"R","I"),"待确认"))</x:f>
        <x:v>A/R</x:v>
      </x:c>
      <x:c r="J96" s="79" t="str">
        <x:f>IF($E96="R04","A/R",IF(ISNUMBER('任务与甘特'!AB28),IF('任务与甘特'!AB28&gt;0,"R","I"),"待确认"))</x:f>
        <x:v>R</x:v>
      </x:c>
      <x:c r="K96" s="79" t="str">
        <x:v>R04</x:v>
      </x:c>
      <x:c r="L96" s="79" t="str">
        <x:v>R04</x:v>
      </x:c>
      <x:c r="M96" s="79" t="str">
        <x:v>小批量提交与集成；非作者复核代码/配置并验证相关失败及边界场景。</x:v>
      </x:c>
      <x:c r="N96" s="79" t="str">
        <x:v>小批量提交与集成；非作者复核代码/配置并验证相关失败及边界场景。</x:v>
      </x:c>
      <x:c r="O96" s="79" t="str">
        <x:v>小批量提交与集成；非作者复核代码/配置并验证相关失败及边界场景。</x:v>
      </x:c>
      <x:c r="P96" s="79" t="str">
        <x:v>小批量提交与集成；非作者复核代码/配置并验证相关失败及边界场景。</x:v>
      </x:c>
      <x:c r="Q96" s="79" t="str">
        <x:f>'任务与甘特'!P28</x:f>
        <x:v>通知可见范围与用户角色管理</x:v>
      </x:c>
      <x:c r="R96" s="79"/>
      <x:c r="S96" s="79"/>
    </x:row>
    <x:row r="97" ht="72" customHeight="1">
      <x:c r="A97" s="79" t="str">
        <x:f>'任务与甘特'!A29</x:f>
        <x:v>T3.15</x:v>
      </x:c>
      <x:c r="B97" s="79" t="str">
        <x:f>'任务与甘特'!B29</x:f>
        <x:v>实现删除恢复、脱敏与审计</x:v>
      </x:c>
      <x:c r="C97" s="79"/>
      <x:c r="D97" s="79"/>
      <x:c r="E97" s="79" t="str">
        <x:f>'任务与甘特'!R29</x:f>
        <x:v>R02</x:v>
      </x:c>
      <x:c r="F97" s="79"/>
      <x:c r="G97" s="79" t="str">
        <x:f>IF($E97="R01","A/R",IF(ISNUMBER('任务与甘特'!Y29),IF('任务与甘特'!Y29&gt;0,"R","I"),"待确认"))</x:f>
        <x:v>R</x:v>
      </x:c>
      <x:c r="H97" s="79" t="str">
        <x:f>IF($E97="R02","A/R",IF(ISNUMBER('任务与甘特'!Z29),IF('任务与甘特'!Z29&gt;0,"R","I"),"待确认"))</x:f>
        <x:v>A/R</x:v>
      </x:c>
      <x:c r="I97" s="79" t="str">
        <x:f>IF($E97="R03","A/R",IF(ISNUMBER('任务与甘特'!AA29),IF('任务与甘特'!AA29&gt;0,"R","I"),"待确认"))</x:f>
        <x:v>R</x:v>
      </x:c>
      <x:c r="J97" s="79" t="str">
        <x:f>IF($E97="R04","A/R",IF(ISNUMBER('任务与甘特'!AB29),IF('任务与甘特'!AB29&gt;0,"R","I"),"待确认"))</x:f>
        <x:v>R</x:v>
      </x:c>
      <x:c r="K97" s="79" t="str">
        <x:v>R04</x:v>
      </x:c>
      <x:c r="L97" s="79" t="str">
        <x:v>R04</x:v>
      </x:c>
      <x:c r="M97" s="79" t="str">
        <x:v>小批量提交与集成；非作者复核代码/配置并验证相关失败及边界场景。</x:v>
      </x:c>
      <x:c r="N97" s="79" t="str">
        <x:v>小批量提交与集成；非作者复核代码/配置并验证相关失败及边界场景。</x:v>
      </x:c>
      <x:c r="O97" s="79" t="str">
        <x:v>小批量提交与集成；非作者复核代码/配置并验证相关失败及边界场景。</x:v>
      </x:c>
      <x:c r="P97" s="79" t="str">
        <x:v>小批量提交与集成；非作者复核代码/配置并验证相关失败及边界场景。</x:v>
      </x:c>
      <x:c r="Q97" s="79" t="str">
        <x:f>'任务与甘特'!P29</x:f>
        <x:v>删除恢复、保留计时与事件链</x:v>
      </x:c>
      <x:c r="R97" s="79"/>
      <x:c r="S97" s="79"/>
    </x:row>
    <x:row r="98" ht="72" customHeight="1">
      <x:c r="A98" s="79" t="str">
        <x:f>'任务与甘特'!A30</x:f>
        <x:v>T3.16</x:v>
      </x:c>
      <x:c r="B98" s="79" t="str">
        <x:f>'任务与甘特'!B30</x:f>
        <x:v>实现运行监控与指标采集</x:v>
      </x:c>
      <x:c r="C98" s="79"/>
      <x:c r="D98" s="79"/>
      <x:c r="E98" s="79" t="str">
        <x:f>'任务与甘特'!R30</x:f>
        <x:v>R04</x:v>
      </x:c>
      <x:c r="F98" s="79"/>
      <x:c r="G98" s="79" t="str">
        <x:f>IF($E98="R01","A/R",IF(ISNUMBER('任务与甘特'!Y30),IF('任务与甘特'!Y30&gt;0,"R","I"),"待确认"))</x:f>
        <x:v>I</x:v>
      </x:c>
      <x:c r="H98" s="79" t="str">
        <x:f>IF($E98="R02","A/R",IF(ISNUMBER('任务与甘特'!Z30),IF('任务与甘特'!Z30&gt;0,"R","I"),"待确认"))</x:f>
        <x:v>R</x:v>
      </x:c>
      <x:c r="I98" s="79" t="str">
        <x:f>IF($E98="R03","A/R",IF(ISNUMBER('任务与甘特'!AA30),IF('任务与甘特'!AA30&gt;0,"R","I"),"待确认"))</x:f>
        <x:v>R</x:v>
      </x:c>
      <x:c r="J98" s="79" t="str">
        <x:f>IF($E98="R04","A/R",IF(ISNUMBER('任务与甘特'!AB30),IF('任务与甘特'!AB30&gt;0,"R","I"),"待确认"))</x:f>
        <x:v>A/R</x:v>
      </x:c>
      <x:c r="K98" s="79" t="str">
        <x:v>R02</x:v>
      </x:c>
      <x:c r="L98" s="79" t="str">
        <x:v>R02</x:v>
      </x:c>
      <x:c r="M98" s="79" t="str">
        <x:v>小批量提交与集成；非作者复核代码/配置并验证相关失败及边界场景。</x:v>
      </x:c>
      <x:c r="N98" s="79" t="str">
        <x:v>小批量提交与集成；非作者复核代码/配置并验证相关失败及边界场景。</x:v>
      </x:c>
      <x:c r="O98" s="79" t="str">
        <x:v>小批量提交与集成；非作者复核代码/配置并验证相关失败及边界场景。</x:v>
      </x:c>
      <x:c r="P98" s="79" t="str">
        <x:v>小批量提交与集成；非作者复核代码/配置并验证相关失败及边界场景。</x:v>
      </x:c>
      <x:c r="Q98" s="79" t="str">
        <x:f>'任务与甘特'!P30</x:f>
        <x:v>宿主机指标、服务状态与过期标识</x:v>
      </x:c>
      <x:c r="R98" s="79"/>
      <x:c r="S98" s="79"/>
    </x:row>
    <x:row r="99" ht="72" customHeight="1">
      <x:c r="A99" s="79" t="str">
        <x:f>'任务与甘特'!A31</x:f>
        <x:v>T3.17</x:v>
      </x:c>
      <x:c r="B99" s="79" t="str">
        <x:f>'任务与甘特'!B31</x:f>
        <x:v>实现批次冻结与MOCK交换</x:v>
      </x:c>
      <x:c r="C99" s="79"/>
      <x:c r="D99" s="79"/>
      <x:c r="E99" s="79" t="str">
        <x:f>'任务与甘特'!R31</x:f>
        <x:v>R02</x:v>
      </x:c>
      <x:c r="F99" s="79"/>
      <x:c r="G99" s="79" t="str">
        <x:f>IF($E99="R01","A/R",IF(ISNUMBER('任务与甘特'!Y31),IF('任务与甘特'!Y31&gt;0,"R","I"),"待确认"))</x:f>
        <x:v>I</x:v>
      </x:c>
      <x:c r="H99" s="79" t="str">
        <x:f>IF($E99="R02","A/R",IF(ISNUMBER('任务与甘特'!Z31),IF('任务与甘特'!Z31&gt;0,"R","I"),"待确认"))</x:f>
        <x:v>A/R</x:v>
      </x:c>
      <x:c r="I99" s="79" t="str">
        <x:f>IF($E99="R03","A/R",IF(ISNUMBER('任务与甘特'!AA31),IF('任务与甘特'!AA31&gt;0,"R","I"),"待确认"))</x:f>
        <x:v>R</x:v>
      </x:c>
      <x:c r="J99" s="79" t="str">
        <x:f>IF($E99="R04","A/R",IF(ISNUMBER('任务与甘特'!AB31),IF('任务与甘特'!AB31&gt;0,"R","I"),"待确认"))</x:f>
        <x:v>R</x:v>
      </x:c>
      <x:c r="K99" s="79" t="str">
        <x:v>R04</x:v>
      </x:c>
      <x:c r="L99" s="79" t="str">
        <x:v>R04</x:v>
      </x:c>
      <x:c r="M99" s="79" t="str">
        <x:v>小批量提交与集成；非作者复核代码/配置并验证相关失败及边界场景。</x:v>
      </x:c>
      <x:c r="N99" s="79" t="str">
        <x:v>小批量提交与集成；非作者复核代码/配置并验证相关失败及边界场景。</x:v>
      </x:c>
      <x:c r="O99" s="79" t="str">
        <x:v>小批量提交与集成；非作者复核代码/配置并验证相关失败及边界场景。</x:v>
      </x:c>
      <x:c r="P99" s="79" t="str">
        <x:v>小批量提交与集成；非作者复核代码/配置并验证相关失败及边界场景。</x:v>
      </x:c>
      <x:c r="Q99" s="79" t="str">
        <x:f>'任务与甘特'!P31</x:f>
        <x:v>批次、摘要、MOCK回执与恢复</x:v>
      </x:c>
      <x:c r="R99" s="79"/>
      <x:c r="S99" s="79"/>
    </x:row>
    <x:row r="100" ht="72" customHeight="1">
      <x:c r="A100" s="79" t="str">
        <x:f>'任务与甘特'!A32</x:f>
        <x:v>T3.18</x:v>
      </x:c>
      <x:c r="B100" s="79" t="str">
        <x:f>'任务与甘特'!B32</x:f>
        <x:v>实现实际REAL协议适配</x:v>
      </x:c>
      <x:c r="C100" s="79"/>
      <x:c r="D100" s="79"/>
      <x:c r="E100" s="79" t="str">
        <x:f>'任务与甘特'!R32</x:f>
        <x:v>R01</x:v>
      </x:c>
      <x:c r="F100" s="79"/>
      <x:c r="G100" s="79" t="str">
        <x:f>IF($E100="R01","A/R",IF(ISNUMBER('任务与甘特'!Y32),IF('任务与甘特'!Y32&gt;0,"R","I"),"待确认"))</x:f>
        <x:v>A/R</x:v>
      </x:c>
      <x:c r="H100" s="79" t="str">
        <x:f>IF($E100="R02","A/R",IF(ISNUMBER('任务与甘特'!Z32),IF('任务与甘特'!Z32&gt;0,"R","I"),"待确认"))</x:f>
        <x:v>I</x:v>
      </x:c>
      <x:c r="I100" s="79" t="str">
        <x:f>IF($E100="R03","A/R",IF(ISNUMBER('任务与甘特'!AA32),IF('任务与甘特'!AA32&gt;0,"R","I"),"待确认"))</x:f>
        <x:v>I</x:v>
      </x:c>
      <x:c r="J100" s="79" t="str">
        <x:f>IF($E100="R04","A/R",IF(ISNUMBER('任务与甘特'!AB32),IF('任务与甘特'!AB32&gt;0,"R","I"),"待确认"))</x:f>
        <x:v>R</x:v>
      </x:c>
      <x:c r="K100" s="79" t="str">
        <x:v>R04</x:v>
      </x:c>
      <x:c r="L100" s="79" t="str">
        <x:v>R04</x:v>
      </x:c>
      <x:c r="M100" s="79" t="str">
        <x:v>小批量提交与集成；非作者复核代码/配置并验证相关失败及边界场景。</x:v>
      </x:c>
      <x:c r="N100" s="79" t="str">
        <x:v>小批量提交与集成；非作者复核代码/配置并验证相关失败及边界场景。</x:v>
      </x:c>
      <x:c r="O100" s="79" t="str">
        <x:v>小批量提交与集成；非作者复核代码/配置并验证相关失败及边界场景。</x:v>
      </x:c>
      <x:c r="P100" s="79" t="str">
        <x:v>小批量提交与集成；非作者复核代码/配置并验证相关失败及边界场景。</x:v>
      </x:c>
      <x:c r="Q100" s="79" t="str">
        <x:f>'任务与甘特'!P32</x:f>
        <x:v>实际认证、字段映射与传输适配</x:v>
      </x:c>
      <x:c r="R100" s="79"/>
      <x:c r="S100" s="79"/>
    </x:row>
    <x:row r="101" ht="72" customHeight="1">
      <x:c r="A101" s="79" t="str">
        <x:f>'任务与甘特'!A33</x:f>
        <x:v>T3.19</x:v>
      </x:c>
      <x:c r="B101" s="79" t="str">
        <x:f>'任务与甘特'!B33</x:f>
        <x:v>编写配置、部署、备份与回滚</x:v>
      </x:c>
      <x:c r="C101" s="79"/>
      <x:c r="D101" s="79"/>
      <x:c r="E101" s="79" t="str">
        <x:f>'任务与甘特'!R33</x:f>
        <x:v>R04</x:v>
      </x:c>
      <x:c r="F101" s="79"/>
      <x:c r="G101" s="79" t="str">
        <x:f>IF($E101="R01","A/R",IF(ISNUMBER('任务与甘特'!Y33),IF('任务与甘特'!Y33&gt;0,"R","I"),"待确认"))</x:f>
        <x:v>R</x:v>
      </x:c>
      <x:c r="H101" s="79" t="str">
        <x:f>IF($E101="R02","A/R",IF(ISNUMBER('任务与甘特'!Z33),IF('任务与甘特'!Z33&gt;0,"R","I"),"待确认"))</x:f>
        <x:v>R</x:v>
      </x:c>
      <x:c r="I101" s="79" t="str">
        <x:f>IF($E101="R03","A/R",IF(ISNUMBER('任务与甘特'!AA33),IF('任务与甘特'!AA33&gt;0,"R","I"),"待确认"))</x:f>
        <x:v>I</x:v>
      </x:c>
      <x:c r="J101" s="79" t="str">
        <x:f>IF($E101="R04","A/R",IF(ISNUMBER('任务与甘特'!AB33),IF('任务与甘特'!AB33&gt;0,"R","I"),"待确认"))</x:f>
        <x:v>A/R</x:v>
      </x:c>
      <x:c r="K101" s="79" t="str">
        <x:v>R01</x:v>
      </x:c>
      <x:c r="L101" s="79" t="str">
        <x:v>R01</x:v>
      </x:c>
      <x:c r="M101" s="79" t="str">
        <x:v>小批量提交与集成；非作者复核代码/配置并验证相关失败及边界场景。</x:v>
      </x:c>
      <x:c r="N101" s="79" t="str">
        <x:v>小批量提交与集成；非作者复核代码/配置并验证相关失败及边界场景。</x:v>
      </x:c>
      <x:c r="O101" s="79" t="str">
        <x:v>小批量提交与集成；非作者复核代码/配置并验证相关失败及边界场景。</x:v>
      </x:c>
      <x:c r="P101" s="79" t="str">
        <x:v>小批量提交与集成；非作者复核代码/配置并验证相关失败及边界场景。</x:v>
      </x:c>
      <x:c r="Q101" s="79" t="str">
        <x:f>'任务与甘特'!P33</x:f>
        <x:v>运行脚本、备份恢复与配置说明</x:v>
      </x:c>
      <x:c r="R101" s="79"/>
      <x:c r="S101" s="79"/>
    </x:row>
    <x:row r="102" ht="72" customHeight="1">
      <x:c r="A102" s="79" t="str">
        <x:f>'任务与甘特'!A34</x:f>
        <x:v>T4.1</x:v>
      </x:c>
      <x:c r="B102" s="79" t="str">
        <x:f>'任务与甘特'!B34</x:f>
        <x:v>评审主业务链阶段成果</x:v>
      </x:c>
      <x:c r="C102" s="79"/>
      <x:c r="D102" s="79"/>
      <x:c r="E102" s="79" t="str">
        <x:f>'任务与甘特'!R34</x:f>
        <x:v>R01</x:v>
      </x:c>
      <x:c r="F102" s="79"/>
      <x:c r="G102" s="79" t="str">
        <x:f>IF($E102="R01","A/R",IF(ISNUMBER('任务与甘特'!Y34),IF('任务与甘特'!Y34&gt;0,"R","I"),"待确认"))</x:f>
        <x:v>A/R</x:v>
      </x:c>
      <x:c r="H102" s="79" t="str">
        <x:f>IF($E102="R02","A/R",IF(ISNUMBER('任务与甘特'!Z34),IF('任务与甘特'!Z34&gt;0,"R","I"),"待确认"))</x:f>
        <x:v>R</x:v>
      </x:c>
      <x:c r="I102" s="79" t="str">
        <x:f>IF($E102="R03","A/R",IF(ISNUMBER('任务与甘特'!AA34),IF('任务与甘特'!AA34&gt;0,"R","I"),"待确认"))</x:f>
        <x:v>R</x:v>
      </x:c>
      <x:c r="J102" s="79" t="str">
        <x:f>IF($E102="R04","A/R",IF(ISNUMBER('任务与甘特'!AB34),IF('任务与甘特'!AB34&gt;0,"R","I"),"待确认"))</x:f>
        <x:v>R</x:v>
      </x:c>
      <x:c r="K102" s="79" t="str">
        <x:v>R04</x:v>
      </x:c>
      <x:c r="L102" s="79" t="str">
        <x:v>R04</x:v>
      </x:c>
      <x:c r="M102" s="79" t="str">
        <x:v>对照AC演示、检查集成契约和遗留问题；结果不符则登记处置。</x:v>
      </x:c>
      <x:c r="N102" s="79" t="str">
        <x:v>对照AC演示、检查集成契约和遗留问题；结果不符则登记处置。</x:v>
      </x:c>
      <x:c r="O102" s="79" t="str">
        <x:v>对照AC演示、检查集成契约和遗留问题；结果不符则登记处置。</x:v>
      </x:c>
      <x:c r="P102" s="79" t="str">
        <x:v>对照AC演示、检查集成契约和遗留问题；结果不符则登记处置。</x:v>
      </x:c>
      <x:c r="Q102" s="79" t="str">
        <x:f>'任务与甘特'!P34</x:f>
        <x:v>主业务链阶段评审记录</x:v>
      </x:c>
      <x:c r="R102" s="79"/>
      <x:c r="S102" s="79"/>
    </x:row>
    <x:row r="103" ht="72" customHeight="1">
      <x:c r="A103" s="79" t="str">
        <x:f>'任务与甘特'!A35</x:f>
        <x:v>T4.2</x:v>
      </x:c>
      <x:c r="B103" s="79" t="str">
        <x:f>'任务与甘特'!B35</x:f>
        <x:v>完成本地模块集成</x:v>
      </x:c>
      <x:c r="C103" s="79"/>
      <x:c r="D103" s="79"/>
      <x:c r="E103" s="79" t="str">
        <x:f>'任务与甘特'!R35</x:f>
        <x:v>R02</x:v>
      </x:c>
      <x:c r="F103" s="79"/>
      <x:c r="G103" s="79" t="str">
        <x:f>IF($E103="R01","A/R",IF(ISNUMBER('任务与甘特'!Y35),IF('任务与甘特'!Y35&gt;0,"R","I"),"待确认"))</x:f>
        <x:v>R</x:v>
      </x:c>
      <x:c r="H103" s="79" t="str">
        <x:f>IF($E103="R02","A/R",IF(ISNUMBER('任务与甘特'!Z35),IF('任务与甘特'!Z35&gt;0,"R","I"),"待确认"))</x:f>
        <x:v>A/R</x:v>
      </x:c>
      <x:c r="I103" s="79" t="str">
        <x:f>IF($E103="R03","A/R",IF(ISNUMBER('任务与甘特'!AA35),IF('任务与甘特'!AA35&gt;0,"R","I"),"待确认"))</x:f>
        <x:v>R</x:v>
      </x:c>
      <x:c r="J103" s="79" t="str">
        <x:f>IF($E103="R04","A/R",IF(ISNUMBER('任务与甘特'!AB35),IF('任务与甘特'!AB35&gt;0,"R","I"),"待确认"))</x:f>
        <x:v>R</x:v>
      </x:c>
      <x:c r="K103" s="79" t="str">
        <x:v>R04</x:v>
      </x:c>
      <x:c r="L103" s="79" t="str">
        <x:v>R04</x:v>
      </x:c>
      <x:c r="M103" s="79" t="str">
        <x:v>对照AC演示、检查集成契约和遗留问题；结果不符则登记处置。</x:v>
      </x:c>
      <x:c r="N103" s="79" t="str">
        <x:v>对照AC演示、检查集成契约和遗留问题；结果不符则登记处置。</x:v>
      </x:c>
      <x:c r="O103" s="79" t="str">
        <x:v>对照AC演示、检查集成契约和遗留问题；结果不符则登记处置。</x:v>
      </x:c>
      <x:c r="P103" s="79" t="str">
        <x:v>对照AC演示、检查集成契约和遗留问题；结果不符则登记处置。</x:v>
      </x:c>
      <x:c r="Q103" s="79" t="str">
        <x:f>'任务与甘特'!P35</x:f>
        <x:v>可构建本地集成版本</x:v>
      </x:c>
      <x:c r="R103" s="79"/>
      <x:c r="S103" s="79"/>
    </x:row>
    <x:row r="104" ht="72" customHeight="1">
      <x:c r="A104" s="79" t="str">
        <x:f>'任务与甘特'!A36</x:f>
        <x:v>T4.3</x:v>
      </x:c>
      <x:c r="B104" s="79" t="str">
        <x:f>'任务与甘特'!B36</x:f>
        <x:v>执行业务功能与边界测试</x:v>
      </x:c>
      <x:c r="C104" s="79"/>
      <x:c r="D104" s="79"/>
      <x:c r="E104" s="79" t="str">
        <x:f>'任务与甘特'!R36</x:f>
        <x:v>R04</x:v>
      </x:c>
      <x:c r="F104" s="79"/>
      <x:c r="G104" s="79" t="str">
        <x:f>IF($E104="R01","A/R",IF(ISNUMBER('任务与甘特'!Y36),IF('任务与甘特'!Y36&gt;0,"R","I"),"待确认"))</x:f>
        <x:v>R</x:v>
      </x:c>
      <x:c r="H104" s="79" t="str">
        <x:f>IF($E104="R02","A/R",IF(ISNUMBER('任务与甘特'!Z36),IF('任务与甘特'!Z36&gt;0,"R","I"),"待确认"))</x:f>
        <x:v>R</x:v>
      </x:c>
      <x:c r="I104" s="79" t="str">
        <x:f>IF($E104="R03","A/R",IF(ISNUMBER('任务与甘特'!AA36),IF('任务与甘特'!AA36&gt;0,"R","I"),"待确认"))</x:f>
        <x:v>R</x:v>
      </x:c>
      <x:c r="J104" s="79" t="str">
        <x:f>IF($E104="R04","A/R",IF(ISNUMBER('任务与甘特'!AB36),IF('任务与甘特'!AB36&gt;0,"R","I"),"待确认"))</x:f>
        <x:v>A/R</x:v>
      </x:c>
      <x:c r="K104" s="79" t="str">
        <x:v>R01</x:v>
      </x:c>
      <x:c r="L104" s="79" t="str">
        <x:v>R01</x:v>
      </x:c>
      <x:c r="M104" s="79" t="str">
        <x:v>按Q01–Q15对应范围记录环境、版本、预期/实际、失败和可核验证据。</x:v>
      </x:c>
      <x:c r="N104" s="79" t="str">
        <x:v>按Q01–Q15对应范围记录环境、版本、预期/实际、失败和可核验证据。</x:v>
      </x:c>
      <x:c r="O104" s="79" t="str">
        <x:v>按Q01–Q15对应范围记录环境、版本、预期/实际、失败和可核验证据。</x:v>
      </x:c>
      <x:c r="P104" s="79" t="str">
        <x:v>按Q01–Q15对应范围记录环境、版本、预期/实际、失败和可核验证据。</x:v>
      </x:c>
      <x:c r="Q104" s="79" t="str">
        <x:f>'任务与甘特'!P36</x:f>
        <x:v>AC-01～09结果与缺陷记录</x:v>
      </x:c>
      <x:c r="R104" s="79"/>
      <x:c r="S104" s="79"/>
    </x:row>
    <x:row r="105" ht="72" customHeight="1">
      <x:c r="A105" s="79" t="str">
        <x:f>'任务与甘特'!A37</x:f>
        <x:v>T4.4</x:v>
      </x:c>
      <x:c r="B105" s="79" t="str">
        <x:f>'任务与甘特'!B37</x:f>
        <x:v>验证MOCK回执与黄金摘要</x:v>
      </x:c>
      <x:c r="C105" s="79"/>
      <x:c r="D105" s="79"/>
      <x:c r="E105" s="79" t="str">
        <x:f>'任务与甘特'!R37</x:f>
        <x:v>R04</x:v>
      </x:c>
      <x:c r="F105" s="79"/>
      <x:c r="G105" s="79" t="str">
        <x:f>IF($E105="R01","A/R",IF(ISNUMBER('任务与甘特'!Y37),IF('任务与甘特'!Y37&gt;0,"R","I"),"待确认"))</x:f>
        <x:v>I</x:v>
      </x:c>
      <x:c r="H105" s="79" t="str">
        <x:f>IF($E105="R02","A/R",IF(ISNUMBER('任务与甘特'!Z37),IF('任务与甘特'!Z37&gt;0,"R","I"),"待确认"))</x:f>
        <x:v>R</x:v>
      </x:c>
      <x:c r="I105" s="79" t="str">
        <x:f>IF($E105="R03","A/R",IF(ISNUMBER('任务与甘特'!AA37),IF('任务与甘特'!AA37&gt;0,"R","I"),"待确认"))</x:f>
        <x:v>I</x:v>
      </x:c>
      <x:c r="J105" s="79" t="str">
        <x:f>IF($E105="R04","A/R",IF(ISNUMBER('任务与甘特'!AB37),IF('任务与甘特'!AB37&gt;0,"R","I"),"待确认"))</x:f>
        <x:v>A/R</x:v>
      </x:c>
      <x:c r="K105" s="79" t="str">
        <x:v>R02</x:v>
      </x:c>
      <x:c r="L105" s="79" t="str">
        <x:v>R02</x:v>
      </x:c>
      <x:c r="M105" s="79" t="str">
        <x:v>按Q01–Q15对应范围记录环境、版本、预期/实际、失败和可核验证据。</x:v>
      </x:c>
      <x:c r="N105" s="79" t="str">
        <x:v>按Q01–Q15对应范围记录环境、版本、预期/实际、失败和可核验证据。</x:v>
      </x:c>
      <x:c r="O105" s="79" t="str">
        <x:v>按Q01–Q15对应范围记录环境、版本、预期/实际、失败和可核验证据。</x:v>
      </x:c>
      <x:c r="P105" s="79" t="str">
        <x:v>按Q01–Q15对应范围记录环境、版本、预期/实际、失败和可核验证据。</x:v>
      </x:c>
      <x:c r="Q105" s="79" t="str">
        <x:f>'任务与甘特'!P37</x:f>
        <x:v>跨语言摘要、回执及异常恢复证据</x:v>
      </x:c>
      <x:c r="R105" s="79"/>
      <x:c r="S105" s="79"/>
    </x:row>
    <x:row r="106" ht="72" customHeight="1">
      <x:c r="A106" s="79" t="str">
        <x:f>'任务与甘特'!A38</x:f>
        <x:v>T4.5</x:v>
      </x:c>
      <x:c r="B106" s="79" t="str">
        <x:f>'任务与甘特'!B38</x:f>
        <x:v>完成实际国家交换验证</x:v>
      </x:c>
      <x:c r="C106" s="79"/>
      <x:c r="D106" s="79"/>
      <x:c r="E106" s="79" t="str">
        <x:f>'任务与甘特'!R38</x:f>
        <x:v>R04</x:v>
      </x:c>
      <x:c r="F106" s="79"/>
      <x:c r="G106" s="79" t="str">
        <x:f>IF($E106="R01","A/R",IF(ISNUMBER('任务与甘特'!Y38),IF('任务与甘特'!Y38&gt;0,"R","I"),"待确认"))</x:f>
        <x:v>R</x:v>
      </x:c>
      <x:c r="H106" s="79" t="str">
        <x:f>IF($E106="R02","A/R",IF(ISNUMBER('任务与甘特'!Z38),IF('任务与甘特'!Z38&gt;0,"R","I"),"待确认"))</x:f>
        <x:v>R</x:v>
      </x:c>
      <x:c r="I106" s="79" t="str">
        <x:f>IF($E106="R03","A/R",IF(ISNUMBER('任务与甘特'!AA38),IF('任务与甘特'!AA38&gt;0,"R","I"),"待确认"))</x:f>
        <x:v>I</x:v>
      </x:c>
      <x:c r="J106" s="79" t="str">
        <x:f>IF($E106="R04","A/R",IF(ISNUMBER('任务与甘特'!AB38),IF('任务与甘特'!AB38&gt;0,"R","I"),"待确认"))</x:f>
        <x:v>A/R</x:v>
      </x:c>
      <x:c r="K106" s="79" t="str">
        <x:v>R01</x:v>
      </x:c>
      <x:c r="L106" s="79" t="str">
        <x:v>R01</x:v>
      </x:c>
      <x:c r="M106" s="79" t="str">
        <x:v>按Q01–Q15对应范围记录环境、版本、预期/实际、失败和可核验证据。</x:v>
      </x:c>
      <x:c r="N106" s="79" t="str">
        <x:v>按Q01–Q15对应范围记录环境、版本、预期/实际、失败和可核验证据。</x:v>
      </x:c>
      <x:c r="O106" s="79" t="str">
        <x:v>按Q01–Q15对应范围记录环境、版本、预期/实际、失败和可核验证据。</x:v>
      </x:c>
      <x:c r="P106" s="79" t="str">
        <x:v>按Q01–Q15对应范围记录环境、版本、预期/实际、失败和可核验证据。</x:v>
      </x:c>
      <x:c r="Q106" s="79" t="str">
        <x:f>'任务与甘特'!P38</x:f>
        <x:v>实际接收凭据与AC-10B记录</x:v>
      </x:c>
      <x:c r="R106" s="79"/>
      <x:c r="S106" s="79"/>
    </x:row>
    <x:row r="107" ht="72" customHeight="1">
      <x:c r="A107" s="79" t="str">
        <x:f>'任务与甘特'!A39</x:f>
        <x:v>T4.6</x:v>
      </x:c>
      <x:c r="B107" s="79" t="str">
        <x:f>'任务与甘特'!B39</x:f>
        <x:v>验证安全、认证和并发一致性</x:v>
      </x:c>
      <x:c r="C107" s="79"/>
      <x:c r="D107" s="79"/>
      <x:c r="E107" s="79" t="str">
        <x:f>'任务与甘特'!R39</x:f>
        <x:v>R04</x:v>
      </x:c>
      <x:c r="F107" s="79"/>
      <x:c r="G107" s="79" t="str">
        <x:f>IF($E107="R01","A/R",IF(ISNUMBER('任务与甘特'!Y39),IF('任务与甘特'!Y39&gt;0,"R","I"),"待确认"))</x:f>
        <x:v>R</x:v>
      </x:c>
      <x:c r="H107" s="79" t="str">
        <x:f>IF($E107="R02","A/R",IF(ISNUMBER('任务与甘特'!Z39),IF('任务与甘特'!Z39&gt;0,"R","I"),"待确认"))</x:f>
        <x:v>R</x:v>
      </x:c>
      <x:c r="I107" s="79" t="str">
        <x:f>IF($E107="R03","A/R",IF(ISNUMBER('任务与甘特'!AA39),IF('任务与甘特'!AA39&gt;0,"R","I"),"待确认"))</x:f>
        <x:v>I</x:v>
      </x:c>
      <x:c r="J107" s="79" t="str">
        <x:f>IF($E107="R04","A/R",IF(ISNUMBER('任务与甘特'!AB39),IF('任务与甘特'!AB39&gt;0,"R","I"),"待确认"))</x:f>
        <x:v>A/R</x:v>
      </x:c>
      <x:c r="K107" s="79" t="str">
        <x:v>R01</x:v>
      </x:c>
      <x:c r="L107" s="79" t="str">
        <x:v>R01</x:v>
      </x:c>
      <x:c r="M107" s="79" t="str">
        <x:v>按Q01–Q15对应范围记录环境、版本、预期/实际、失败和可核验证据。</x:v>
      </x:c>
      <x:c r="N107" s="79" t="str">
        <x:v>按Q01–Q15对应范围记录环境、版本、预期/实际、失败和可核验证据。</x:v>
      </x:c>
      <x:c r="O107" s="79" t="str">
        <x:v>按Q01–Q15对应范围记录环境、版本、预期/实际、失败和可核验证据。</x:v>
      </x:c>
      <x:c r="P107" s="79" t="str">
        <x:v>按Q01–Q15对应范围记录环境、版本、预期/实际、失败和可核验证据。</x:v>
      </x:c>
      <x:c r="Q107" s="79" t="str">
        <x:f>'任务与甘特'!P39</x:f>
        <x:v>越权、漏洞、限流与并发证据</x:v>
      </x:c>
      <x:c r="R107" s="79"/>
      <x:c r="S107" s="79"/>
    </x:row>
    <x:row r="108" ht="72" customHeight="1">
      <x:c r="A108" s="79" t="str">
        <x:f>'任务与甘特'!A40</x:f>
        <x:v>T4.7</x:v>
      </x:c>
      <x:c r="B108" s="79" t="str">
        <x:f>'任务与甘特'!B40</x:f>
        <x:v>执行容量、性能与导出测试</x:v>
      </x:c>
      <x:c r="C108" s="79"/>
      <x:c r="D108" s="79"/>
      <x:c r="E108" s="79" t="str">
        <x:f>'任务与甘特'!R40</x:f>
        <x:v>R04</x:v>
      </x:c>
      <x:c r="F108" s="79"/>
      <x:c r="G108" s="79" t="str">
        <x:f>IF($E108="R01","A/R",IF(ISNUMBER('任务与甘特'!Y40),IF('任务与甘特'!Y40&gt;0,"R","I"),"待确认"))</x:f>
        <x:v>I</x:v>
      </x:c>
      <x:c r="H108" s="79" t="str">
        <x:f>IF($E108="R02","A/R",IF(ISNUMBER('任务与甘特'!Z40),IF('任务与甘特'!Z40&gt;0,"R","I"),"待确认"))</x:f>
        <x:v>R</x:v>
      </x:c>
      <x:c r="I108" s="79" t="str">
        <x:f>IF($E108="R03","A/R",IF(ISNUMBER('任务与甘特'!AA40),IF('任务与甘特'!AA40&gt;0,"R","I"),"待确认"))</x:f>
        <x:v>R</x:v>
      </x:c>
      <x:c r="J108" s="79" t="str">
        <x:f>IF($E108="R04","A/R",IF(ISNUMBER('任务与甘特'!AB40),IF('任务与甘特'!AB40&gt;0,"R","I"),"待确认"))</x:f>
        <x:v>A/R</x:v>
      </x:c>
      <x:c r="K108" s="79" t="str">
        <x:v>R02</x:v>
      </x:c>
      <x:c r="L108" s="79" t="str">
        <x:v>R02</x:v>
      </x:c>
      <x:c r="M108" s="79" t="str">
        <x:v>按Q01–Q15对应范围记录环境、版本、预期/实际、失败和可核验证据。</x:v>
      </x:c>
      <x:c r="N108" s="79" t="str">
        <x:v>按Q01–Q15对应范围记录环境、版本、预期/实际、失败和可核验证据。</x:v>
      </x:c>
      <x:c r="O108" s="79" t="str">
        <x:v>按Q01–Q15对应范围记录环境、版本、预期/实际、失败和可核验证据。</x:v>
      </x:c>
      <x:c r="P108" s="79" t="str">
        <x:v>按Q01–Q15对应范围记录环境、版本、预期/实际、失败和可核验证据。</x:v>
      </x:c>
      <x:c r="Q108" s="79" t="str">
        <x:f>'任务与甘特'!P40</x:f>
        <x:v>负载、P95、成功率和导出报告</x:v>
      </x:c>
      <x:c r="R108" s="79"/>
      <x:c r="S108" s="79"/>
    </x:row>
    <x:row r="109" ht="72" customHeight="1">
      <x:c r="A109" s="79" t="str">
        <x:f>'任务与甘特'!A41</x:f>
        <x:v>T4.8</x:v>
      </x:c>
      <x:c r="B109" s="79" t="str">
        <x:f>'任务与甘特'!B41</x:f>
        <x:v>验证备份恢复与72小时运行</x:v>
      </x:c>
      <x:c r="C109" s="79"/>
      <x:c r="D109" s="79"/>
      <x:c r="E109" s="79" t="str">
        <x:f>'任务与甘特'!R41</x:f>
        <x:v>R04</x:v>
      </x:c>
      <x:c r="F109" s="79"/>
      <x:c r="G109" s="79" t="str">
        <x:f>IF($E109="R01","A/R",IF(ISNUMBER('任务与甘特'!Y41),IF('任务与甘特'!Y41&gt;0,"R","I"),"待确认"))</x:f>
        <x:v>R</x:v>
      </x:c>
      <x:c r="H109" s="79" t="str">
        <x:f>IF($E109="R02","A/R",IF(ISNUMBER('任务与甘特'!Z41),IF('任务与甘特'!Z41&gt;0,"R","I"),"待确认"))</x:f>
        <x:v>R</x:v>
      </x:c>
      <x:c r="I109" s="79" t="str">
        <x:f>IF($E109="R03","A/R",IF(ISNUMBER('任务与甘特'!AA41),IF('任务与甘特'!AA41&gt;0,"R","I"),"待确认"))</x:f>
        <x:v>I</x:v>
      </x:c>
      <x:c r="J109" s="79" t="str">
        <x:f>IF($E109="R04","A/R",IF(ISNUMBER('任务与甘特'!AB41),IF('任务与甘特'!AB41&gt;0,"R","I"),"待确认"))</x:f>
        <x:v>A/R</x:v>
      </x:c>
      <x:c r="K109" s="79" t="str">
        <x:v>R01</x:v>
      </x:c>
      <x:c r="L109" s="79" t="str">
        <x:v>R01</x:v>
      </x:c>
      <x:c r="M109" s="79" t="str">
        <x:v>按Q01–Q15对应范围记录环境、版本、预期/实际、失败和可核验证据。</x:v>
      </x:c>
      <x:c r="N109" s="79" t="str">
        <x:v>按Q01–Q15对应范围记录环境、版本、预期/实际、失败和可核验证据。</x:v>
      </x:c>
      <x:c r="O109" s="79" t="str">
        <x:v>按Q01–Q15对应范围记录环境、版本、预期/实际、失败和可核验证据。</x:v>
      </x:c>
      <x:c r="P109" s="79" t="str">
        <x:v>按Q01–Q15对应范围记录环境、版本、预期/实际、失败和可核验证据。</x:v>
      </x:c>
      <x:c r="Q109" s="79" t="str">
        <x:f>'任务与甘特'!P41</x:f>
        <x:v>恢复、重启与72小时运行记录</x:v>
      </x:c>
      <x:c r="R109" s="79"/>
      <x:c r="S109" s="79"/>
    </x:row>
    <x:row r="110" ht="72" customHeight="1">
      <x:c r="A110" s="79" t="str">
        <x:f>'任务与甘特'!A42</x:f>
        <x:v>T4.9</x:v>
      </x:c>
      <x:c r="B110" s="79" t="str">
        <x:f>'任务与甘特'!B42</x:f>
        <x:v>验证兼容、部署与监控</x:v>
      </x:c>
      <x:c r="C110" s="79"/>
      <x:c r="D110" s="79"/>
      <x:c r="E110" s="79" t="str">
        <x:f>'任务与甘特'!R42</x:f>
        <x:v>R04</x:v>
      </x:c>
      <x:c r="F110" s="79"/>
      <x:c r="G110" s="79" t="str">
        <x:f>IF($E110="R01","A/R",IF(ISNUMBER('任务与甘特'!Y42),IF('任务与甘特'!Y42&gt;0,"R","I"),"待确认"))</x:f>
        <x:v>I</x:v>
      </x:c>
      <x:c r="H110" s="79" t="str">
        <x:f>IF($E110="R02","A/R",IF(ISNUMBER('任务与甘特'!Z42),IF('任务与甘特'!Z42&gt;0,"R","I"),"待确认"))</x:f>
        <x:v>R</x:v>
      </x:c>
      <x:c r="I110" s="79" t="str">
        <x:f>IF($E110="R03","A/R",IF(ISNUMBER('任务与甘特'!AA42),IF('任务与甘特'!AA42&gt;0,"R","I"),"待确认"))</x:f>
        <x:v>R</x:v>
      </x:c>
      <x:c r="J110" s="79" t="str">
        <x:f>IF($E110="R04","A/R",IF(ISNUMBER('任务与甘特'!AB42),IF('任务与甘特'!AB42&gt;0,"R","I"),"待确认"))</x:f>
        <x:v>A/R</x:v>
      </x:c>
      <x:c r="K110" s="79" t="str">
        <x:v>R02</x:v>
      </x:c>
      <x:c r="L110" s="79" t="str">
        <x:v>R02</x:v>
      </x:c>
      <x:c r="M110" s="79" t="str">
        <x:v>按Q01–Q15对应范围记录环境、版本、预期/实际、失败和可核验证据。</x:v>
      </x:c>
      <x:c r="N110" s="79" t="str">
        <x:v>按Q01–Q15对应范围记录环境、版本、预期/实际、失败和可核验证据。</x:v>
      </x:c>
      <x:c r="O110" s="79" t="str">
        <x:v>按Q01–Q15对应范围记录环境、版本、预期/实际、失败和可核验证据。</x:v>
      </x:c>
      <x:c r="P110" s="79" t="str">
        <x:v>按Q01–Q15对应范围记录环境、版本、预期/实际、失败和可核验证据。</x:v>
      </x:c>
      <x:c r="Q110" s="79" t="str">
        <x:f>'任务与甘特'!P42</x:f>
        <x:v>浏览器、表格软件和部署证据</x:v>
      </x:c>
      <x:c r="R110" s="79"/>
      <x:c r="S110" s="79"/>
    </x:row>
    <x:row r="111" ht="72" customHeight="1">
      <x:c r="A111" s="79" t="str">
        <x:f>'任务与甘特'!A43</x:f>
        <x:v>T4.10</x:v>
      </x:c>
      <x:c r="B111" s="79" t="str">
        <x:f>'任务与甘特'!B43</x:f>
        <x:v>修复缺陷并复核需求覆盖</x:v>
      </x:c>
      <x:c r="C111" s="79"/>
      <x:c r="D111" s="79"/>
      <x:c r="E111" s="79" t="str">
        <x:f>'任务与甘特'!R43</x:f>
        <x:v>R02</x:v>
      </x:c>
      <x:c r="F111" s="79"/>
      <x:c r="G111" s="79" t="str">
        <x:f>IF($E111="R01","A/R",IF(ISNUMBER('任务与甘特'!Y43),IF('任务与甘特'!Y43&gt;0,"R","I"),"待确认"))</x:f>
        <x:v>R</x:v>
      </x:c>
      <x:c r="H111" s="79" t="str">
        <x:f>IF($E111="R02","A/R",IF(ISNUMBER('任务与甘特'!Z43),IF('任务与甘特'!Z43&gt;0,"R","I"),"待确认"))</x:f>
        <x:v>A/R</x:v>
      </x:c>
      <x:c r="I111" s="79" t="str">
        <x:f>IF($E111="R03","A/R",IF(ISNUMBER('任务与甘特'!AA43),IF('任务与甘特'!AA43&gt;0,"R","I"),"待确认"))</x:f>
        <x:v>R</x:v>
      </x:c>
      <x:c r="J111" s="79" t="str">
        <x:f>IF($E111="R04","A/R",IF(ISNUMBER('任务与甘特'!AB43),IF('任务与甘特'!AB43&gt;0,"R","I"),"待确认"))</x:f>
        <x:v>R</x:v>
      </x:c>
      <x:c r="K111" s="79" t="str">
        <x:v>R04</x:v>
      </x:c>
      <x:c r="L111" s="79" t="str">
        <x:v>R04</x:v>
      </x:c>
      <x:c r="M111" s="79" t="str">
        <x:v>按缺陷号修复、记录根因及版本；非作者复测，失败重开。</x:v>
      </x:c>
      <x:c r="N111" s="79" t="str">
        <x:v>按缺陷号修复、记录根因及版本；非作者复测，失败重开。</x:v>
      </x:c>
      <x:c r="O111" s="79" t="str">
        <x:v>按缺陷号修复、记录根因及版本；非作者复测，失败重开。</x:v>
      </x:c>
      <x:c r="P111" s="79" t="str">
        <x:v>按缺陷号修复、记录根因及版本；非作者复测，失败重开。</x:v>
      </x:c>
      <x:c r="Q111" s="79" t="str">
        <x:f>'任务与甘特'!P43</x:f>
        <x:v>缺陷修复、回归与未执行项记录</x:v>
      </x:c>
      <x:c r="R111" s="79"/>
      <x:c r="S111" s="79"/>
    </x:row>
    <x:row r="112" ht="72" customHeight="1">
      <x:c r="A112" s="79" t="str">
        <x:f>'任务与甘特'!A44</x:f>
        <x:v>T5.1</x:v>
      </x:c>
      <x:c r="B112" s="79" t="str">
        <x:f>'任务与甘特'!B44</x:f>
        <x:v>部署拟定试运行环境</x:v>
      </x:c>
      <x:c r="C112" s="79"/>
      <x:c r="D112" s="79"/>
      <x:c r="E112" s="79" t="str">
        <x:f>'任务与甘特'!R44</x:f>
        <x:v>R01</x:v>
      </x:c>
      <x:c r="F112" s="79"/>
      <x:c r="G112" s="79" t="str">
        <x:f>IF($E112="R01","A/R",IF(ISNUMBER('任务与甘特'!Y44),IF('任务与甘特'!Y44&gt;0,"R","I"),"待确认"))</x:f>
        <x:v>A/R</x:v>
      </x:c>
      <x:c r="H112" s="79" t="str">
        <x:f>IF($E112="R02","A/R",IF(ISNUMBER('任务与甘特'!Z44),IF('任务与甘特'!Z44&gt;0,"R","I"),"待确认"))</x:f>
        <x:v>R</x:v>
      </x:c>
      <x:c r="I112" s="79" t="str">
        <x:f>IF($E112="R03","A/R",IF(ISNUMBER('任务与甘特'!AA44),IF('任务与甘特'!AA44&gt;0,"R","I"),"待确认"))</x:f>
        <x:v>I</x:v>
      </x:c>
      <x:c r="J112" s="79" t="str">
        <x:f>IF($E112="R04","A/R",IF(ISNUMBER('任务与甘特'!AB44),IF('任务与甘特'!AB44&gt;0,"R","I"),"待确认"))</x:f>
        <x:v>R</x:v>
      </x:c>
      <x:c r="K112" s="79" t="str">
        <x:v>R04</x:v>
      </x:c>
      <x:c r="L112" s="79" t="str">
        <x:v>R04</x:v>
      </x:c>
      <x:c r="M112" s="79" t="str">
        <x:v>核对交付版本、操作资料、用户反馈和未完成项；不预填实际结论。</x:v>
      </x:c>
      <x:c r="N112" s="79" t="str">
        <x:v>核对交付版本、操作资料、用户反馈和未完成项；不预填实际结论。</x:v>
      </x:c>
      <x:c r="O112" s="79" t="str">
        <x:v>核对交付版本、操作资料、用户反馈和未完成项；不预填实际结论。</x:v>
      </x:c>
      <x:c r="P112" s="79" t="str">
        <x:v>核对交付版本、操作资料、用户反馈和未完成项；不预填实际结论。</x:v>
      </x:c>
      <x:c r="Q112" s="79" t="str">
        <x:f>'任务与甘特'!P44</x:f>
        <x:v>部署配置、迁移与回滚记录</x:v>
      </x:c>
      <x:c r="R112" s="79"/>
      <x:c r="S112" s="79"/>
    </x:row>
    <x:row r="113" ht="72" customHeight="1">
      <x:c r="A113" s="79" t="str">
        <x:f>'任务与甘特'!A45</x:f>
        <x:v>T5.2</x:v>
      </x:c>
      <x:c r="B113" s="79" t="str">
        <x:f>'任务与甘特'!B45</x:f>
        <x:v>安排业务试运行与反馈</x:v>
      </x:c>
      <x:c r="C113" s="79"/>
      <x:c r="D113" s="79"/>
      <x:c r="E113" s="79" t="str">
        <x:f>'任务与甘特'!R45</x:f>
        <x:v>R01</x:v>
      </x:c>
      <x:c r="F113" s="79"/>
      <x:c r="G113" s="79" t="str">
        <x:f>IF($E113="R01","A/R",IF(ISNUMBER('任务与甘特'!Y45),IF('任务与甘特'!Y45&gt;0,"R","I"),"待确认"))</x:f>
        <x:v>A/R</x:v>
      </x:c>
      <x:c r="H113" s="79" t="str">
        <x:f>IF($E113="R02","A/R",IF(ISNUMBER('任务与甘特'!Z45),IF('任务与甘特'!Z45&gt;0,"R","I"),"待确认"))</x:f>
        <x:v>R</x:v>
      </x:c>
      <x:c r="I113" s="79" t="str">
        <x:f>IF($E113="R03","A/R",IF(ISNUMBER('任务与甘特'!AA45),IF('任务与甘特'!AA45&gt;0,"R","I"),"待确认"))</x:f>
        <x:v>R</x:v>
      </x:c>
      <x:c r="J113" s="79" t="str">
        <x:f>IF($E113="R04","A/R",IF(ISNUMBER('任务与甘特'!AB45),IF('任务与甘特'!AB45&gt;0,"R","I"),"待确认"))</x:f>
        <x:v>R</x:v>
      </x:c>
      <x:c r="K113" s="79" t="str">
        <x:v>R04</x:v>
      </x:c>
      <x:c r="L113" s="79" t="str">
        <x:v>R04</x:v>
      </x:c>
      <x:c r="M113" s="79" t="str">
        <x:v>核对交付版本、操作资料、用户反馈和未完成项；不预填实际结论。</x:v>
      </x:c>
      <x:c r="N113" s="79" t="str">
        <x:v>核对交付版本、操作资料、用户反馈和未完成项；不预填实际结论。</x:v>
      </x:c>
      <x:c r="O113" s="79" t="str">
        <x:v>核对交付版本、操作资料、用户反馈和未完成项；不预填实际结论。</x:v>
      </x:c>
      <x:c r="P113" s="79" t="str">
        <x:v>核对交付版本、操作资料、用户反馈和未完成项；不预填实际结论。</x:v>
      </x:c>
      <x:c r="Q113" s="79" t="str">
        <x:f>'任务与甘特'!P45</x:f>
        <x:v>试运行记录与反馈处理</x:v>
      </x:c>
      <x:c r="R113" s="79"/>
      <x:c r="S113" s="79"/>
    </x:row>
    <x:row r="114" ht="72" customHeight="1">
      <x:c r="A114" s="79" t="str">
        <x:f>'任务与甘特'!A46</x:f>
        <x:v>T5.3</x:v>
      </x:c>
      <x:c r="B114" s="79" t="str">
        <x:f>'任务与甘特'!B46</x:f>
        <x:v>编写操作与开发维护说明</x:v>
      </x:c>
      <x:c r="C114" s="79"/>
      <x:c r="D114" s="79"/>
      <x:c r="E114" s="79" t="str">
        <x:f>'任务与甘特'!R46</x:f>
        <x:v>R01</x:v>
      </x:c>
      <x:c r="F114" s="79"/>
      <x:c r="G114" s="79" t="str">
        <x:f>IF($E114="R01","A/R",IF(ISNUMBER('任务与甘特'!Y46),IF('任务与甘特'!Y46&gt;0,"R","I"),"待确认"))</x:f>
        <x:v>A/R</x:v>
      </x:c>
      <x:c r="H114" s="79" t="str">
        <x:f>IF($E114="R02","A/R",IF(ISNUMBER('任务与甘特'!Z46),IF('任务与甘特'!Z46&gt;0,"R","I"),"待确认"))</x:f>
        <x:v>R</x:v>
      </x:c>
      <x:c r="I114" s="79" t="str">
        <x:f>IF($E114="R03","A/R",IF(ISNUMBER('任务与甘特'!AA46),IF('任务与甘特'!AA46&gt;0,"R","I"),"待确认"))</x:f>
        <x:v>R</x:v>
      </x:c>
      <x:c r="J114" s="79" t="str">
        <x:f>IF($E114="R04","A/R",IF(ISNUMBER('任务与甘特'!AB46),IF('任务与甘特'!AB46&gt;0,"R","I"),"待确认"))</x:f>
        <x:v>R</x:v>
      </x:c>
      <x:c r="K114" s="79" t="str">
        <x:v>R04</x:v>
      </x:c>
      <x:c r="L114" s="79" t="str">
        <x:v>R04</x:v>
      </x:c>
      <x:c r="M114" s="79" t="str">
        <x:v>核对交付版本、操作资料、用户反馈和未完成项；不预填实际结论。</x:v>
      </x:c>
      <x:c r="N114" s="79" t="str">
        <x:v>核对交付版本、操作资料、用户反馈和未完成项；不预填实际结论。</x:v>
      </x:c>
      <x:c r="O114" s="79" t="str">
        <x:v>核对交付版本、操作资料、用户反馈和未完成项；不预填实际结论。</x:v>
      </x:c>
      <x:c r="P114" s="79" t="str">
        <x:v>核对交付版本、操作资料、用户反馈和未完成项；不预填实际结论。</x:v>
      </x:c>
      <x:c r="Q114" s="79" t="str">
        <x:f>'任务与甘特'!P46</x:f>
        <x:v>企业、市、省和技术管理操作说明</x:v>
      </x:c>
      <x:c r="R114" s="79"/>
      <x:c r="S114" s="79"/>
    </x:row>
    <x:row r="115" ht="72" customHeight="1">
      <x:c r="A115" s="79" t="str">
        <x:f>'任务与甘特'!A47</x:f>
        <x:v>T5.4</x:v>
      </x:c>
      <x:c r="B115" s="79" t="str">
        <x:f>'任务与甘特'!B47</x:f>
        <x:v>安排操作培训与演示</x:v>
      </x:c>
      <x:c r="C115" s="79"/>
      <x:c r="D115" s="79"/>
      <x:c r="E115" s="79" t="str">
        <x:f>'任务与甘特'!R47</x:f>
        <x:v>R01</x:v>
      </x:c>
      <x:c r="F115" s="79"/>
      <x:c r="G115" s="79" t="str">
        <x:f>IF($E115="R01","A/R",IF(ISNUMBER('任务与甘特'!Y47),IF('任务与甘特'!Y47&gt;0,"R","I"),"待确认"))</x:f>
        <x:v>A/R</x:v>
      </x:c>
      <x:c r="H115" s="79" t="str">
        <x:f>IF($E115="R02","A/R",IF(ISNUMBER('任务与甘特'!Z47),IF('任务与甘特'!Z47&gt;0,"R","I"),"待确认"))</x:f>
        <x:v>I</x:v>
      </x:c>
      <x:c r="I115" s="79" t="str">
        <x:f>IF($E115="R03","A/R",IF(ISNUMBER('任务与甘特'!AA47),IF('任务与甘特'!AA47&gt;0,"R","I"),"待确认"))</x:f>
        <x:v>R</x:v>
      </x:c>
      <x:c r="J115" s="79" t="str">
        <x:f>IF($E115="R04","A/R",IF(ISNUMBER('任务与甘特'!AB47),IF('任务与甘特'!AB47&gt;0,"R","I"),"待确认"))</x:f>
        <x:v>R</x:v>
      </x:c>
      <x:c r="K115" s="79" t="str">
        <x:v>R04</x:v>
      </x:c>
      <x:c r="L115" s="79" t="str">
        <x:v>R04</x:v>
      </x:c>
      <x:c r="M115" s="79" t="str">
        <x:v>核对交付版本、操作资料、用户反馈和未完成项；不预填实际结论。</x:v>
      </x:c>
      <x:c r="N115" s="79" t="str">
        <x:v>核对交付版本、操作资料、用户反馈和未完成项；不预填实际结论。</x:v>
      </x:c>
      <x:c r="O115" s="79" t="str">
        <x:v>核对交付版本、操作资料、用户反馈和未完成项；不预填实际结论。</x:v>
      </x:c>
      <x:c r="P115" s="79" t="str">
        <x:v>核对交付版本、操作资料、用户反馈和未完成项；不预填实际结论。</x:v>
      </x:c>
      <x:c r="Q115" s="79" t="str">
        <x:f>'任务与甘特'!P47</x:f>
        <x:v>培训资料、演示与反馈</x:v>
      </x:c>
      <x:c r="R115" s="79"/>
      <x:c r="S115" s="79"/>
    </x:row>
    <x:row r="116" ht="72" customHeight="1">
      <x:c r="A116" s="79" t="str">
        <x:f>'任务与甘特'!A48</x:f>
        <x:v>T5.5</x:v>
      </x:c>
      <x:c r="B116" s="79" t="str">
        <x:f>'任务与甘特'!B48</x:f>
        <x:v>整理代码、配置和验证证据</x:v>
      </x:c>
      <x:c r="C116" s="79"/>
      <x:c r="D116" s="79"/>
      <x:c r="E116" s="79" t="str">
        <x:f>'任务与甘特'!R48</x:f>
        <x:v>R04</x:v>
      </x:c>
      <x:c r="F116" s="79"/>
      <x:c r="G116" s="79" t="str">
        <x:f>IF($E116="R01","A/R",IF(ISNUMBER('任务与甘特'!Y48),IF('任务与甘特'!Y48&gt;0,"R","I"),"待确认"))</x:f>
        <x:v>R</x:v>
      </x:c>
      <x:c r="H116" s="79" t="str">
        <x:f>IF($E116="R02","A/R",IF(ISNUMBER('任务与甘特'!Z48),IF('任务与甘特'!Z48&gt;0,"R","I"),"待确认"))</x:f>
        <x:v>R</x:v>
      </x:c>
      <x:c r="I116" s="79" t="str">
        <x:f>IF($E116="R03","A/R",IF(ISNUMBER('任务与甘特'!AA48),IF('任务与甘特'!AA48&gt;0,"R","I"),"待确认"))</x:f>
        <x:v>R</x:v>
      </x:c>
      <x:c r="J116" s="79" t="str">
        <x:f>IF($E116="R04","A/R",IF(ISNUMBER('任务与甘特'!AB48),IF('任务与甘特'!AB48&gt;0,"R","I"),"待确认"))</x:f>
        <x:v>A/R</x:v>
      </x:c>
      <x:c r="K116" s="79" t="str">
        <x:v>R01</x:v>
      </x:c>
      <x:c r="L116" s="79" t="str">
        <x:v>R01</x:v>
      </x:c>
      <x:c r="M116" s="79" t="str">
        <x:v>核对交付版本、操作资料、用户反馈和未完成项；不预填实际结论。</x:v>
      </x:c>
      <x:c r="N116" s="79" t="str">
        <x:v>核对交付版本、操作资料、用户反馈和未完成项；不预填实际结论。</x:v>
      </x:c>
      <x:c r="O116" s="79" t="str">
        <x:v>核对交付版本、操作资料、用户反馈和未完成项；不预填实际结论。</x:v>
      </x:c>
      <x:c r="P116" s="79" t="str">
        <x:v>核对交付版本、操作资料、用户反馈和未完成项；不预填实际结论。</x:v>
      </x:c>
      <x:c r="Q116" s="79" t="str">
        <x:f>'任务与甘特'!P48</x:f>
        <x:v>构建代码、运行脚本与证据包</x:v>
      </x:c>
      <x:c r="R116" s="79"/>
      <x:c r="S116" s="79"/>
    </x:row>
    <x:row r="117" ht="72" customHeight="1">
      <x:c r="A117" s="79" t="str">
        <x:f>'任务与甘特'!A49</x:f>
        <x:v>T5.6</x:v>
      </x:c>
      <x:c r="B117" s="79" t="str">
        <x:f>'任务与甘特'!B49</x:f>
        <x:v>完成最终项目验收</x:v>
      </x:c>
      <x:c r="C117" s="79"/>
      <x:c r="D117" s="79"/>
      <x:c r="E117" s="79" t="str">
        <x:f>'任务与甘特'!R49</x:f>
        <x:v>R01</x:v>
      </x:c>
      <x:c r="F117" s="79"/>
      <x:c r="G117" s="79" t="str">
        <x:f>IF($E117="R01","A/R",IF(ISNUMBER('任务与甘特'!Y49),IF('任务与甘特'!Y49&gt;0,"R","I"),"待确认"))</x:f>
        <x:v>A/R</x:v>
      </x:c>
      <x:c r="H117" s="79" t="str">
        <x:f>IF($E117="R02","A/R",IF(ISNUMBER('任务与甘特'!Z49),IF('任务与甘特'!Z49&gt;0,"R","I"),"待确认"))</x:f>
        <x:v>R</x:v>
      </x:c>
      <x:c r="I117" s="79" t="str">
        <x:f>IF($E117="R03","A/R",IF(ISNUMBER('任务与甘特'!AA49),IF('任务与甘特'!AA49&gt;0,"R","I"),"待确认"))</x:f>
        <x:v>R</x:v>
      </x:c>
      <x:c r="J117" s="79" t="str">
        <x:f>IF($E117="R04","A/R",IF(ISNUMBER('任务与甘特'!AB49),IF('任务与甘特'!AB49&gt;0,"R","I"),"待确认"))</x:f>
        <x:v>R</x:v>
      </x:c>
      <x:c r="K117" s="79" t="str">
        <x:v>R04</x:v>
      </x:c>
      <x:c r="L117" s="79" t="str">
        <x:v>R04</x:v>
      </x:c>
      <x:c r="M117" s="79" t="str">
        <x:v>按SRS 9.4–9.5及Q16核对全部证据；AC-10B缺失不标为全部通过。</x:v>
      </x:c>
      <x:c r="N117" s="79" t="str">
        <x:v>按SRS 9.4–9.5及Q16核对全部证据；AC-10B缺失不标为全部通过。</x:v>
      </x:c>
      <x:c r="O117" s="79" t="str">
        <x:v>按SRS 9.4–9.5及Q16核对全部证据；AC-10B缺失不标为全部通过。</x:v>
      </x:c>
      <x:c r="P117" s="79" t="str">
        <x:v>按SRS 9.4–9.5及Q16核对全部证据；AC-10B缺失不标为全部通过。</x:v>
      </x:c>
      <x:c r="Q117" s="79" t="str">
        <x:f>'任务与甘特'!P49</x:f>
        <x:v>完整需求证据与实际交换接收凭据</x:v>
      </x:c>
      <x:c r="R117" s="79"/>
      <x:c r="S117" s="79"/>
    </x:row>
    <x:row r="118" ht="72" customHeight="1">
      <x:c r="A118" s="79" t="str">
        <x:f>'任务与甘特'!A50</x:f>
        <x:v>T5.7</x:v>
      </x:c>
      <x:c r="B118" s="79" t="str">
        <x:f>'任务与甘特'!B50</x:f>
        <x:v>汇总8周模拟的最终项目计划</x:v>
      </x:c>
      <x:c r="C118" s="79"/>
      <x:c r="D118" s="79"/>
      <x:c r="E118" s="79" t="str">
        <x:f>'任务与甘特'!R50</x:f>
        <x:v>R01</x:v>
      </x:c>
      <x:c r="F118" s="79"/>
      <x:c r="G118" s="79" t="str">
        <x:f>IF($E118="R01","A/R",IF(ISNUMBER('任务与甘特'!Y50),IF('任务与甘特'!Y50&gt;0,"R","I"),"待确认"))</x:f>
        <x:v>A/R</x:v>
      </x:c>
      <x:c r="H118" s="79" t="str">
        <x:f>IF($E118="R02","A/R",IF(ISNUMBER('任务与甘特'!Z50),IF('任务与甘特'!Z50&gt;0,"R","I"),"待确认"))</x:f>
        <x:v>I</x:v>
      </x:c>
      <x:c r="I118" s="79" t="str">
        <x:f>IF($E118="R03","A/R",IF(ISNUMBER('任务与甘特'!AA50),IF('任务与甘特'!AA50&gt;0,"R","I"),"待确认"))</x:f>
        <x:v>I</x:v>
      </x:c>
      <x:c r="J118" s="79" t="str">
        <x:f>IF($E118="R04","A/R",IF(ISNUMBER('任务与甘特'!AB50),IF('任务与甘特'!AB50&gt;0,"R","I"),"待确认"))</x:f>
        <x:v>R</x:v>
      </x:c>
      <x:c r="K118" s="79" t="str">
        <x:v>R04</x:v>
      </x:c>
      <x:c r="L118" s="79" t="str">
        <x:v>R04</x:v>
      </x:c>
      <x:c r="M118" s="79" t="str">
        <x:v>核对交付版本、操作资料、用户反馈和未完成项；不预填实际结论。</x:v>
      </x:c>
      <x:c r="N118" s="79" t="str">
        <x:v>核对交付版本、操作资料、用户反馈和未完成项；不预填实际结论。</x:v>
      </x:c>
      <x:c r="O118" s="79" t="str">
        <x:v>核对交付版本、操作资料、用户反馈和未完成项；不预填实际结论。</x:v>
      </x:c>
      <x:c r="P118" s="79" t="str">
        <x:v>核对交付版本、操作资料、用户反馈和未完成项；不预填实际结论。</x:v>
      </x:c>
      <x:c r="Q118" s="79" t="str">
        <x:f>'任务与甘特'!P50</x:f>
        <x:v>完整项目计划与迭代说明</x:v>
      </x:c>
      <x:c r="R118" s="79"/>
      <x:c r="S118" s="79"/>
    </x:row>
    <x:row r="120" ht="44" customHeight="1">
      <x:c r="A120" s="79" t="str">
        <x:v>复核按具体成果避开作者。R04参与实现或部署的产物由其他既有参与者互核；若列出的牵头复核人同为作者，在原分配中换人，并在质量记录中登记实际复核人和证据。</x:v>
      </x:c>
      <x:c r="B120" s="79" t="str">
        <x:v>复核按具体成果避开作者。R04参与实现或部署的产物由其他既有参与者互核；若列出的牵头复核人同为作者，在原分配中换人，并在质量记录中登记实际复核人和证据。</x:v>
      </x:c>
      <x:c r="C120" s="79" t="str">
        <x:v>复核按具体成果避开作者。R04参与实现或部署的产物由其他既有参与者互核；若列出的牵头复核人同为作者，在原分配中换人，并在质量记录中登记实际复核人和证据。</x:v>
      </x:c>
      <x:c r="D120" s="79" t="str">
        <x:v>复核按具体成果避开作者。R04参与实现或部署的产物由其他既有参与者互核；若列出的牵头复核人同为作者，在原分配中换人，并在质量记录中登记实际复核人和证据。</x:v>
      </x:c>
      <x:c r="E120" s="79" t="str">
        <x:v>复核按具体成果避开作者。R04参与实现或部署的产物由其他既有参与者互核；若列出的牵头复核人同为作者，在原分配中换人，并在质量记录中登记实际复核人和证据。</x:v>
      </x:c>
      <x:c r="F120" s="79" t="str">
        <x:v>复核按具体成果避开作者。R04参与实现或部署的产物由其他既有参与者互核；若列出的牵头复核人同为作者，在原分配中换人，并在质量记录中登记实际复核人和证据。</x:v>
      </x:c>
      <x:c r="G120" s="79" t="str">
        <x:v>复核按具体成果避开作者。R04参与实现或部署的产物由其他既有参与者互核；若列出的牵头复核人同为作者，在原分配中换人，并在质量记录中登记实际复核人和证据。</x:v>
      </x:c>
      <x:c r="H120" s="79" t="str">
        <x:v>复核按具体成果避开作者。R04参与实现或部署的产物由其他既有参与者互核；若列出的牵头复核人同为作者，在原分配中换人，并在质量记录中登记实际复核人和证据。</x:v>
      </x:c>
      <x:c r="I120" s="79" t="str">
        <x:v>复核按具体成果避开作者。R04参与实现或部署的产物由其他既有参与者互核；若列出的牵头复核人同为作者，在原分配中换人，并在质量记录中登记实际复核人和证据。</x:v>
      </x:c>
      <x:c r="J120" s="79" t="str">
        <x:v>复核按具体成果避开作者。R04参与实现或部署的产物由其他既有参与者互核；若列出的牵头复核人同为作者，在原分配中换人，并在质量记录中登记实际复核人和证据。</x:v>
      </x:c>
      <x:c r="K120" s="79" t="str">
        <x:v>复核按具体成果避开作者。R04参与实现或部署的产物由其他既有参与者互核；若列出的牵头复核人同为作者，在原分配中换人，并在质量记录中登记实际复核人和证据。</x:v>
      </x:c>
      <x:c r="L120" s="79" t="str">
        <x:v>复核按具体成果避开作者。R04参与实现或部署的产物由其他既有参与者互核；若列出的牵头复核人同为作者，在原分配中换人，并在质量记录中登记实际复核人和证据。</x:v>
      </x:c>
      <x:c r="M120" s="79" t="str">
        <x:v>复核按具体成果避开作者。R04参与实现或部署的产物由其他既有参与者互核；若列出的牵头复核人同为作者，在原分配中换人，并在质量记录中登记实际复核人和证据。</x:v>
      </x:c>
      <x:c r="N120" s="79" t="str">
        <x:v>复核按具体成果避开作者。R04参与实现或部署的产物由其他既有参与者互核；若列出的牵头复核人同为作者，在原分配中换人，并在质量记录中登记实际复核人和证据。</x:v>
      </x:c>
      <x:c r="O120" s="79" t="str">
        <x:v>复核按具体成果避开作者。R04参与实现或部署的产物由其他既有参与者互核；若列出的牵头复核人同为作者，在原分配中换人，并在质量记录中登记实际复核人和证据。</x:v>
      </x:c>
      <x:c r="P120" s="79" t="str">
        <x:v>复核按具体成果避开作者。R04参与实现或部署的产物由其他既有参与者互核；若列出的牵头复核人同为作者，在原分配中换人，并在质量记录中登记实际复核人和证据。</x:v>
      </x:c>
      <x:c r="Q120" s="79" t="str">
        <x:v>复核按具体成果避开作者。R04参与实现或部署的产物由其他既有参与者互核；若列出的牵头复核人同为作者，在原分配中换人，并在质量记录中登记实际复核人和证据。</x:v>
      </x:c>
      <x:c r="R120" s="79" t="str">
        <x:v>复核按具体成果避开作者。R04参与实现或部署的产物由其他既有参与者互核；若列出的牵头复核人同为作者，在原分配中换人，并在质量记录中登记实际复核人和证据。</x:v>
      </x:c>
      <x:c r="S120" s="79" t="str">
        <x:v>复核按具体成果避开作者。R04参与实现或部署的产物由其他既有参与者互核；若列出的牵头复核人同为作者，在原分配中换人，并在质量记录中登记实际复核人和证据。</x:v>
      </x:c>
    </x:row>
    <x:row r="121" ht="44" customHeight="1">
      <x:c r="A121" s="79" t="str">
        <x:v>T2.5的36人时仍全部为R01。日常版本、问题和质量跟踪由R01登记，R04在T1.2/T4.1/T5.7等已有评审分配内抽查；该矩阵不另行增加人时、会议或资源费用。</x:v>
      </x:c>
      <x:c r="B121" s="79" t="str">
        <x:v>T2.5的36人时仍全部为R01。日常版本、问题和质量跟踪由R01登记，R04在T1.2/T4.1/T5.7等已有评审分配内抽查；该矩阵不另行增加人时、会议或资源费用。</x:v>
      </x:c>
      <x:c r="C121" s="79" t="str">
        <x:v>T2.5的36人时仍全部为R01。日常版本、问题和质量跟踪由R01登记，R04在T1.2/T4.1/T5.7等已有评审分配内抽查；该矩阵不另行增加人时、会议或资源费用。</x:v>
      </x:c>
      <x:c r="D121" s="79" t="str">
        <x:v>T2.5的36人时仍全部为R01。日常版本、问题和质量跟踪由R01登记，R04在T1.2/T4.1/T5.7等已有评审分配内抽查；该矩阵不另行增加人时、会议或资源费用。</x:v>
      </x:c>
      <x:c r="E121" s="79" t="str">
        <x:v>T2.5的36人时仍全部为R01。日常版本、问题和质量跟踪由R01登记，R04在T1.2/T4.1/T5.7等已有评审分配内抽查；该矩阵不另行增加人时、会议或资源费用。</x:v>
      </x:c>
      <x:c r="F121" s="79" t="str">
        <x:v>T2.5的36人时仍全部为R01。日常版本、问题和质量跟踪由R01登记，R04在T1.2/T4.1/T5.7等已有评审分配内抽查；该矩阵不另行增加人时、会议或资源费用。</x:v>
      </x:c>
      <x:c r="G121" s="79" t="str">
        <x:v>T2.5的36人时仍全部为R01。日常版本、问题和质量跟踪由R01登记，R04在T1.2/T4.1/T5.7等已有评审分配内抽查；该矩阵不另行增加人时、会议或资源费用。</x:v>
      </x:c>
      <x:c r="H121" s="79" t="str">
        <x:v>T2.5的36人时仍全部为R01。日常版本、问题和质量跟踪由R01登记，R04在T1.2/T4.1/T5.7等已有评审分配内抽查；该矩阵不另行增加人时、会议或资源费用。</x:v>
      </x:c>
      <x:c r="I121" s="79" t="str">
        <x:v>T2.5的36人时仍全部为R01。日常版本、问题和质量跟踪由R01登记，R04在T1.2/T4.1/T5.7等已有评审分配内抽查；该矩阵不另行增加人时、会议或资源费用。</x:v>
      </x:c>
      <x:c r="J121" s="79" t="str">
        <x:v>T2.5的36人时仍全部为R01。日常版本、问题和质量跟踪由R01登记，R04在T1.2/T4.1/T5.7等已有评审分配内抽查；该矩阵不另行增加人时、会议或资源费用。</x:v>
      </x:c>
      <x:c r="K121" s="79" t="str">
        <x:v>T2.5的36人时仍全部为R01。日常版本、问题和质量跟踪由R01登记，R04在T1.2/T4.1/T5.7等已有评审分配内抽查；该矩阵不另行增加人时、会议或资源费用。</x:v>
      </x:c>
      <x:c r="L121" s="79" t="str">
        <x:v>T2.5的36人时仍全部为R01。日常版本、问题和质量跟踪由R01登记，R04在T1.2/T4.1/T5.7等已有评审分配内抽查；该矩阵不另行增加人时、会议或资源费用。</x:v>
      </x:c>
      <x:c r="M121" s="79" t="str">
        <x:v>T2.5的36人时仍全部为R01。日常版本、问题和质量跟踪由R01登记，R04在T1.2/T4.1/T5.7等已有评审分配内抽查；该矩阵不另行增加人时、会议或资源费用。</x:v>
      </x:c>
      <x:c r="N121" s="79" t="str">
        <x:v>T2.5的36人时仍全部为R01。日常版本、问题和质量跟踪由R01登记，R04在T1.2/T4.1/T5.7等已有评审分配内抽查；该矩阵不另行增加人时、会议或资源费用。</x:v>
      </x:c>
      <x:c r="O121" s="79" t="str">
        <x:v>T2.5的36人时仍全部为R01。日常版本、问题和质量跟踪由R01登记，R04在T1.2/T4.1/T5.7等已有评审分配内抽查；该矩阵不另行增加人时、会议或资源费用。</x:v>
      </x:c>
      <x:c r="P121" s="79" t="str">
        <x:v>T2.5的36人时仍全部为R01。日常版本、问题和质量跟踪由R01登记，R04在T1.2/T4.1/T5.7等已有评审分配内抽查；该矩阵不另行增加人时、会议或资源费用。</x:v>
      </x:c>
      <x:c r="Q121" s="79" t="str">
        <x:v>T2.5的36人时仍全部为R01。日常版本、问题和质量跟踪由R01登记，R04在T1.2/T4.1/T5.7等已有评审分配内抽查；该矩阵不另行增加人时、会议或资源费用。</x:v>
      </x:c>
      <x:c r="R121" s="79" t="str">
        <x:v>T2.5的36人时仍全部为R01。日常版本、问题和质量跟踪由R01登记，R04在T1.2/T4.1/T5.7等已有评审分配内抽查；该矩阵不另行增加人时、会议或资源费用。</x:v>
      </x:c>
      <x:c r="S121" s="79" t="str">
        <x:v>T2.5的36人时仍全部为R01。日常版本、问题和质量跟踪由R01登记，R04在T1.2/T4.1/T5.7等已有评审分配内抽查；该矩阵不另行增加人时、会议或资源费用。</x:v>
      </x:c>
    </x:row>
    <x:row r="122" ht="44" customHeight="1">
      <x:c r="A122" s="79" t="str">
        <x:v>在既有工作交接中简述已完成事项、下一步和阻塞；每轮结合现有维护任务复核成果及改进措施。无法在现有容量内完成时记录影响、责任和期限，必要时办理CR，不默默增加投入。</x:v>
      </x:c>
      <x:c r="B122" s="79" t="str">
        <x:v>在既有工作交接中简述已完成事项、下一步和阻塞；每轮结合现有维护任务复核成果及改进措施。无法在现有容量内完成时记录影响、责任和期限，必要时办理CR，不默默增加投入。</x:v>
      </x:c>
      <x:c r="C122" s="79" t="str">
        <x:v>在既有工作交接中简述已完成事项、下一步和阻塞；每轮结合现有维护任务复核成果及改进措施。无法在现有容量内完成时记录影响、责任和期限，必要时办理CR，不默默增加投入。</x:v>
      </x:c>
      <x:c r="D122" s="79" t="str">
        <x:v>在既有工作交接中简述已完成事项、下一步和阻塞；每轮结合现有维护任务复核成果及改进措施。无法在现有容量内完成时记录影响、责任和期限，必要时办理CR，不默默增加投入。</x:v>
      </x:c>
      <x:c r="E122" s="79" t="str">
        <x:v>在既有工作交接中简述已完成事项、下一步和阻塞；每轮结合现有维护任务复核成果及改进措施。无法在现有容量内完成时记录影响、责任和期限，必要时办理CR，不默默增加投入。</x:v>
      </x:c>
      <x:c r="F122" s="79" t="str">
        <x:v>在既有工作交接中简述已完成事项、下一步和阻塞；每轮结合现有维护任务复核成果及改进措施。无法在现有容量内完成时记录影响、责任和期限，必要时办理CR，不默默增加投入。</x:v>
      </x:c>
      <x:c r="G122" s="79" t="str">
        <x:v>在既有工作交接中简述已完成事项、下一步和阻塞；每轮结合现有维护任务复核成果及改进措施。无法在现有容量内完成时记录影响、责任和期限，必要时办理CR，不默默增加投入。</x:v>
      </x:c>
      <x:c r="H122" s="79" t="str">
        <x:v>在既有工作交接中简述已完成事项、下一步和阻塞；每轮结合现有维护任务复核成果及改进措施。无法在现有容量内完成时记录影响、责任和期限，必要时办理CR，不默默增加投入。</x:v>
      </x:c>
      <x:c r="I122" s="79" t="str">
        <x:v>在既有工作交接中简述已完成事项、下一步和阻塞；每轮结合现有维护任务复核成果及改进措施。无法在现有容量内完成时记录影响、责任和期限，必要时办理CR，不默默增加投入。</x:v>
      </x:c>
      <x:c r="J122" s="79" t="str">
        <x:v>在既有工作交接中简述已完成事项、下一步和阻塞；每轮结合现有维护任务复核成果及改进措施。无法在现有容量内完成时记录影响、责任和期限，必要时办理CR，不默默增加投入。</x:v>
      </x:c>
      <x:c r="K122" s="79" t="str">
        <x:v>在既有工作交接中简述已完成事项、下一步和阻塞；每轮结合现有维护任务复核成果及改进措施。无法在现有容量内完成时记录影响、责任和期限，必要时办理CR，不默默增加投入。</x:v>
      </x:c>
      <x:c r="L122" s="79" t="str">
        <x:v>在既有工作交接中简述已完成事项、下一步和阻塞；每轮结合现有维护任务复核成果及改进措施。无法在现有容量内完成时记录影响、责任和期限，必要时办理CR，不默默增加投入。</x:v>
      </x:c>
      <x:c r="M122" s="79" t="str">
        <x:v>在既有工作交接中简述已完成事项、下一步和阻塞；每轮结合现有维护任务复核成果及改进措施。无法在现有容量内完成时记录影响、责任和期限，必要时办理CR，不默默增加投入。</x:v>
      </x:c>
      <x:c r="N122" s="79" t="str">
        <x:v>在既有工作交接中简述已完成事项、下一步和阻塞；每轮结合现有维护任务复核成果及改进措施。无法在现有容量内完成时记录影响、责任和期限，必要时办理CR，不默默增加投入。</x:v>
      </x:c>
      <x:c r="O122" s="79" t="str">
        <x:v>在既有工作交接中简述已完成事项、下一步和阻塞；每轮结合现有维护任务复核成果及改进措施。无法在现有容量内完成时记录影响、责任和期限，必要时办理CR，不默默增加投入。</x:v>
      </x:c>
      <x:c r="P122" s="79" t="str">
        <x:v>在既有工作交接中简述已完成事项、下一步和阻塞；每轮结合现有维护任务复核成果及改进措施。无法在现有容量内完成时记录影响、责任和期限，必要时办理CR，不默默增加投入。</x:v>
      </x:c>
      <x:c r="Q122" s="79" t="str">
        <x:v>在既有工作交接中简述已完成事项、下一步和阻塞；每轮结合现有维护任务复核成果及改进措施。无法在现有容量内完成时记录影响、责任和期限，必要时办理CR，不默默增加投入。</x:v>
      </x:c>
      <x:c r="R122" s="79" t="str">
        <x:v>在既有工作交接中简述已完成事项、下一步和阻塞；每轮结合现有维护任务复核成果及改进措施。无法在现有容量内完成时记录影响、责任和期限，必要时办理CR，不默默增加投入。</x:v>
      </x:c>
      <x:c r="S122" s="79" t="str">
        <x:v>在既有工作交接中简述已完成事项、下一步和阻塞；每轮结合现有维护任务复核成果及改进措施。无法在现有容量内完成时记录影响、责任和期限，必要时办理CR，不默默增加投入。</x:v>
      </x:c>
    </x:row>
    <x:row r="123" ht="44" customHeight="1">
      <x:c r="A123" s="79" t="str">
        <x:v>实际项目发起人、需求确认人与验收代表及其授权尚未确定，姓名和签字不代填。模拟团队及交叉复核安排不构成实际参与证明；原责任或投入变化后应重新核对本矩阵。</x:v>
      </x:c>
      <x:c r="B123" s="79" t="str">
        <x:v>实际项目发起人、需求确认人与验收代表及其授权尚未确定，姓名和签字不代填。模拟团队及交叉复核安排不构成实际参与证明；原责任或投入变化后应重新核对本矩阵。</x:v>
      </x:c>
      <x:c r="C123" s="79" t="str">
        <x:v>实际项目发起人、需求确认人与验收代表及其授权尚未确定，姓名和签字不代填。模拟团队及交叉复核安排不构成实际参与证明；原责任或投入变化后应重新核对本矩阵。</x:v>
      </x:c>
      <x:c r="D123" s="79" t="str">
        <x:v>实际项目发起人、需求确认人与验收代表及其授权尚未确定，姓名和签字不代填。模拟团队及交叉复核安排不构成实际参与证明；原责任或投入变化后应重新核对本矩阵。</x:v>
      </x:c>
      <x:c r="E123" s="79" t="str">
        <x:v>实际项目发起人、需求确认人与验收代表及其授权尚未确定，姓名和签字不代填。模拟团队及交叉复核安排不构成实际参与证明；原责任或投入变化后应重新核对本矩阵。</x:v>
      </x:c>
      <x:c r="F123" s="79" t="str">
        <x:v>实际项目发起人、需求确认人与验收代表及其授权尚未确定，姓名和签字不代填。模拟团队及交叉复核安排不构成实际参与证明；原责任或投入变化后应重新核对本矩阵。</x:v>
      </x:c>
      <x:c r="G123" s="79" t="str">
        <x:v>实际项目发起人、需求确认人与验收代表及其授权尚未确定，姓名和签字不代填。模拟团队及交叉复核安排不构成实际参与证明；原责任或投入变化后应重新核对本矩阵。</x:v>
      </x:c>
      <x:c r="H123" s="79" t="str">
        <x:v>实际项目发起人、需求确认人与验收代表及其授权尚未确定，姓名和签字不代填。模拟团队及交叉复核安排不构成实际参与证明；原责任或投入变化后应重新核对本矩阵。</x:v>
      </x:c>
      <x:c r="I123" s="79" t="str">
        <x:v>实际项目发起人、需求确认人与验收代表及其授权尚未确定，姓名和签字不代填。模拟团队及交叉复核安排不构成实际参与证明；原责任或投入变化后应重新核对本矩阵。</x:v>
      </x:c>
      <x:c r="J123" s="79" t="str">
        <x:v>实际项目发起人、需求确认人与验收代表及其授权尚未确定，姓名和签字不代填。模拟团队及交叉复核安排不构成实际参与证明；原责任或投入变化后应重新核对本矩阵。</x:v>
      </x:c>
      <x:c r="K123" s="79" t="str">
        <x:v>实际项目发起人、需求确认人与验收代表及其授权尚未确定，姓名和签字不代填。模拟团队及交叉复核安排不构成实际参与证明；原责任或投入变化后应重新核对本矩阵。</x:v>
      </x:c>
      <x:c r="L123" s="79" t="str">
        <x:v>实际项目发起人、需求确认人与验收代表及其授权尚未确定，姓名和签字不代填。模拟团队及交叉复核安排不构成实际参与证明；原责任或投入变化后应重新核对本矩阵。</x:v>
      </x:c>
      <x:c r="M123" s="79" t="str">
        <x:v>实际项目发起人、需求确认人与验收代表及其授权尚未确定，姓名和签字不代填。模拟团队及交叉复核安排不构成实际参与证明；原责任或投入变化后应重新核对本矩阵。</x:v>
      </x:c>
      <x:c r="N123" s="79" t="str">
        <x:v>实际项目发起人、需求确认人与验收代表及其授权尚未确定，姓名和签字不代填。模拟团队及交叉复核安排不构成实际参与证明；原责任或投入变化后应重新核对本矩阵。</x:v>
      </x:c>
      <x:c r="O123" s="79" t="str">
        <x:v>实际项目发起人、需求确认人与验收代表及其授权尚未确定，姓名和签字不代填。模拟团队及交叉复核安排不构成实际参与证明；原责任或投入变化后应重新核对本矩阵。</x:v>
      </x:c>
      <x:c r="P123" s="79" t="str">
        <x:v>实际项目发起人、需求确认人与验收代表及其授权尚未确定，姓名和签字不代填。模拟团队及交叉复核安排不构成实际参与证明；原责任或投入变化后应重新核对本矩阵。</x:v>
      </x:c>
      <x:c r="Q123" s="79" t="str">
        <x:v>实际项目发起人、需求确认人与验收代表及其授权尚未确定，姓名和签字不代填。模拟团队及交叉复核安排不构成实际参与证明；原责任或投入变化后应重新核对本矩阵。</x:v>
      </x:c>
      <x:c r="R123" s="79" t="str">
        <x:v>实际项目发起人、需求确认人与验收代表及其授权尚未确定，姓名和签字不代填。模拟团队及交叉复核安排不构成实际参与证明；原责任或投入变化后应重新核对本矩阵。</x:v>
      </x:c>
      <x:c r="S123" s="79" t="str">
        <x:v>实际项目发起人、需求确认人与验收代表及其授权尚未确定，姓名和签字不代填。模拟团队及交叉复核安排不构成实际参与证明；原责任或投入变化后应重新核对本矩阵。</x:v>
      </x:c>
    </x:row>
  </x:sheetData>
  <x:mergeCells>
    <x:mergeCell ref="A71:S71"/>
    <x:mergeCell ref="A72:S72"/>
    <x:mergeCell ref="B74:D74"/>
    <x:mergeCell ref="E74:F74"/>
    <x:mergeCell ref="K74:L74"/>
    <x:mergeCell ref="M74:P74"/>
    <x:mergeCell ref="Q74:S74"/>
    <x:mergeCell ref="B75:D75"/>
    <x:mergeCell ref="E75:F75"/>
    <x:mergeCell ref="Q75:S75"/>
    <x:mergeCell ref="K75:L75"/>
    <x:mergeCell ref="M75:P75"/>
    <x:mergeCell ref="B76:D76"/>
    <x:mergeCell ref="E76:F76"/>
    <x:mergeCell ref="Q76:S76"/>
    <x:mergeCell ref="K76:L76"/>
    <x:mergeCell ref="M76:P76"/>
    <x:mergeCell ref="B77:D77"/>
    <x:mergeCell ref="E77:F77"/>
    <x:mergeCell ref="Q77:S77"/>
    <x:mergeCell ref="K77:L77"/>
    <x:mergeCell ref="M77:P77"/>
    <x:mergeCell ref="B78:D78"/>
    <x:mergeCell ref="E78:F78"/>
    <x:mergeCell ref="Q78:S78"/>
    <x:mergeCell ref="K78:L78"/>
    <x:mergeCell ref="M78:P78"/>
    <x:mergeCell ref="B79:D79"/>
    <x:mergeCell ref="E79:F79"/>
    <x:mergeCell ref="Q79:S79"/>
    <x:mergeCell ref="K79:L79"/>
    <x:mergeCell ref="M79:P79"/>
    <x:mergeCell ref="B80:D80"/>
    <x:mergeCell ref="E80:F80"/>
    <x:mergeCell ref="Q80:S80"/>
    <x:mergeCell ref="K80:L80"/>
    <x:mergeCell ref="M80:P80"/>
    <x:mergeCell ref="B81:D81"/>
    <x:mergeCell ref="E81:F81"/>
    <x:mergeCell ref="Q81:S81"/>
    <x:mergeCell ref="K81:L81"/>
    <x:mergeCell ref="M81:P81"/>
    <x:mergeCell ref="B82:D82"/>
    <x:mergeCell ref="E82:F82"/>
    <x:mergeCell ref="Q82:S82"/>
    <x:mergeCell ref="K82:L82"/>
    <x:mergeCell ref="M82:P82"/>
    <x:mergeCell ref="B83:D83"/>
    <x:mergeCell ref="E83:F83"/>
    <x:mergeCell ref="Q83:S83"/>
    <x:mergeCell ref="K83:L83"/>
    <x:mergeCell ref="M83:P83"/>
    <x:mergeCell ref="B84:D84"/>
    <x:mergeCell ref="E84:F84"/>
    <x:mergeCell ref="Q84:S84"/>
    <x:mergeCell ref="K84:L84"/>
    <x:mergeCell ref="M84:P84"/>
    <x:mergeCell ref="B85:D85"/>
    <x:mergeCell ref="E85:F85"/>
    <x:mergeCell ref="Q85:S85"/>
    <x:mergeCell ref="K85:L85"/>
    <x:mergeCell ref="M85:P85"/>
    <x:mergeCell ref="B86:D86"/>
    <x:mergeCell ref="E86:F86"/>
    <x:mergeCell ref="Q86:S86"/>
    <x:mergeCell ref="K86:L86"/>
    <x:mergeCell ref="M86:P86"/>
    <x:mergeCell ref="B87:D87"/>
    <x:mergeCell ref="E87:F87"/>
    <x:mergeCell ref="Q87:S87"/>
    <x:mergeCell ref="K87:L87"/>
    <x:mergeCell ref="M87:P87"/>
    <x:mergeCell ref="B88:D88"/>
    <x:mergeCell ref="E88:F88"/>
    <x:mergeCell ref="Q88:S88"/>
    <x:mergeCell ref="K88:L88"/>
    <x:mergeCell ref="M88:P88"/>
    <x:mergeCell ref="B89:D89"/>
    <x:mergeCell ref="E89:F89"/>
    <x:mergeCell ref="Q89:S89"/>
    <x:mergeCell ref="K89:L89"/>
    <x:mergeCell ref="M89:P89"/>
    <x:mergeCell ref="B90:D90"/>
    <x:mergeCell ref="E90:F90"/>
    <x:mergeCell ref="Q90:S90"/>
    <x:mergeCell ref="K90:L90"/>
    <x:mergeCell ref="M90:P90"/>
    <x:mergeCell ref="B91:D91"/>
    <x:mergeCell ref="E91:F91"/>
    <x:mergeCell ref="Q91:S91"/>
    <x:mergeCell ref="K91:L91"/>
    <x:mergeCell ref="M91:P91"/>
    <x:mergeCell ref="B92:D92"/>
    <x:mergeCell ref="E92:F92"/>
    <x:mergeCell ref="Q92:S92"/>
    <x:mergeCell ref="K92:L92"/>
    <x:mergeCell ref="M92:P92"/>
    <x:mergeCell ref="B93:D93"/>
    <x:mergeCell ref="E93:F93"/>
    <x:mergeCell ref="Q93:S93"/>
    <x:mergeCell ref="K93:L93"/>
    <x:mergeCell ref="M93:P93"/>
    <x:mergeCell ref="B94:D94"/>
    <x:mergeCell ref="E94:F94"/>
    <x:mergeCell ref="Q94:S94"/>
    <x:mergeCell ref="K94:L94"/>
    <x:mergeCell ref="M94:P94"/>
    <x:mergeCell ref="B95:D95"/>
    <x:mergeCell ref="E95:F95"/>
    <x:mergeCell ref="Q95:S95"/>
    <x:mergeCell ref="K95:L95"/>
    <x:mergeCell ref="M95:P95"/>
    <x:mergeCell ref="B96:D96"/>
    <x:mergeCell ref="E96:F96"/>
    <x:mergeCell ref="Q96:S96"/>
    <x:mergeCell ref="K96:L96"/>
    <x:mergeCell ref="M96:P96"/>
    <x:mergeCell ref="B97:D97"/>
    <x:mergeCell ref="E97:F97"/>
    <x:mergeCell ref="Q97:S97"/>
    <x:mergeCell ref="K97:L97"/>
    <x:mergeCell ref="M97:P97"/>
    <x:mergeCell ref="B98:D98"/>
    <x:mergeCell ref="E98:F98"/>
    <x:mergeCell ref="Q98:S98"/>
    <x:mergeCell ref="K98:L98"/>
    <x:mergeCell ref="M98:P98"/>
    <x:mergeCell ref="B99:D99"/>
    <x:mergeCell ref="E99:F99"/>
    <x:mergeCell ref="Q99:S99"/>
    <x:mergeCell ref="K99:L99"/>
    <x:mergeCell ref="M99:P99"/>
    <x:mergeCell ref="B100:D100"/>
    <x:mergeCell ref="E100:F100"/>
    <x:mergeCell ref="Q100:S100"/>
    <x:mergeCell ref="K100:L100"/>
    <x:mergeCell ref="M100:P100"/>
    <x:mergeCell ref="B101:D101"/>
    <x:mergeCell ref="E101:F101"/>
    <x:mergeCell ref="Q101:S101"/>
    <x:mergeCell ref="K101:L101"/>
    <x:mergeCell ref="M101:P101"/>
    <x:mergeCell ref="B102:D102"/>
    <x:mergeCell ref="E102:F102"/>
    <x:mergeCell ref="Q102:S102"/>
    <x:mergeCell ref="K102:L102"/>
    <x:mergeCell ref="M102:P102"/>
    <x:mergeCell ref="B103:D103"/>
    <x:mergeCell ref="E103:F103"/>
    <x:mergeCell ref="Q103:S103"/>
    <x:mergeCell ref="K103:L103"/>
    <x:mergeCell ref="M103:P103"/>
    <x:mergeCell ref="B104:D104"/>
    <x:mergeCell ref="E104:F104"/>
    <x:mergeCell ref="Q104:S104"/>
    <x:mergeCell ref="K104:L104"/>
    <x:mergeCell ref="M104:P104"/>
    <x:mergeCell ref="B105:D105"/>
    <x:mergeCell ref="E105:F105"/>
    <x:mergeCell ref="Q105:S105"/>
    <x:mergeCell ref="K105:L105"/>
    <x:mergeCell ref="M105:P105"/>
    <x:mergeCell ref="B106:D106"/>
    <x:mergeCell ref="E106:F106"/>
    <x:mergeCell ref="Q106:S106"/>
    <x:mergeCell ref="K106:L106"/>
    <x:mergeCell ref="M106:P106"/>
    <x:mergeCell ref="B107:D107"/>
    <x:mergeCell ref="E107:F107"/>
    <x:mergeCell ref="Q107:S107"/>
    <x:mergeCell ref="K107:L107"/>
    <x:mergeCell ref="M107:P107"/>
    <x:mergeCell ref="B108:D108"/>
    <x:mergeCell ref="E108:F108"/>
    <x:mergeCell ref="Q108:S108"/>
    <x:mergeCell ref="K108:L108"/>
    <x:mergeCell ref="M108:P108"/>
    <x:mergeCell ref="B109:D109"/>
    <x:mergeCell ref="E109:F109"/>
    <x:mergeCell ref="Q109:S109"/>
    <x:mergeCell ref="K109:L109"/>
    <x:mergeCell ref="M109:P109"/>
    <x:mergeCell ref="B110:D110"/>
    <x:mergeCell ref="E110:F110"/>
    <x:mergeCell ref="Q110:S110"/>
    <x:mergeCell ref="K110:L110"/>
    <x:mergeCell ref="M110:P110"/>
    <x:mergeCell ref="B111:D111"/>
    <x:mergeCell ref="E111:F111"/>
    <x:mergeCell ref="Q111:S111"/>
    <x:mergeCell ref="K111:L111"/>
    <x:mergeCell ref="M111:P111"/>
    <x:mergeCell ref="B112:D112"/>
    <x:mergeCell ref="E112:F112"/>
    <x:mergeCell ref="Q112:S112"/>
    <x:mergeCell ref="K112:L112"/>
    <x:mergeCell ref="M112:P112"/>
    <x:mergeCell ref="B113:D113"/>
    <x:mergeCell ref="E113:F113"/>
    <x:mergeCell ref="Q113:S113"/>
    <x:mergeCell ref="K113:L113"/>
    <x:mergeCell ref="M113:P113"/>
    <x:mergeCell ref="B114:D114"/>
    <x:mergeCell ref="E114:F114"/>
    <x:mergeCell ref="Q114:S114"/>
    <x:mergeCell ref="K114:L114"/>
    <x:mergeCell ref="M114:P114"/>
    <x:mergeCell ref="B115:D115"/>
    <x:mergeCell ref="E115:F115"/>
    <x:mergeCell ref="Q115:S115"/>
    <x:mergeCell ref="K115:L115"/>
    <x:mergeCell ref="M115:P115"/>
    <x:mergeCell ref="B116:D116"/>
    <x:mergeCell ref="E116:F116"/>
    <x:mergeCell ref="Q116:S116"/>
    <x:mergeCell ref="K116:L116"/>
    <x:mergeCell ref="M116:P116"/>
    <x:mergeCell ref="B117:D117"/>
    <x:mergeCell ref="E117:F117"/>
    <x:mergeCell ref="Q117:S117"/>
    <x:mergeCell ref="K117:L117"/>
    <x:mergeCell ref="M117:P117"/>
    <x:mergeCell ref="B118:D118"/>
    <x:mergeCell ref="E118:F118"/>
    <x:mergeCell ref="Q118:S118"/>
    <x:mergeCell ref="K118:L118"/>
    <x:mergeCell ref="M118:P118"/>
    <x:mergeCell ref="A120:S120"/>
    <x:mergeCell ref="A121:S121"/>
    <x:mergeCell ref="A122:S122"/>
    <x:mergeCell ref="A123:S123"/>
  </x:mergeCells>
  <x:dataValidations count="1">
    <x:dataValidation type="list" sqref="A8:A12">
      <x:formula1>"是,否"</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3" ySplit="7" topLeftCell="D8" activePane="bottomRight" state="frozen"/>
    </x:sheetView>
  </x:sheetViews>
  <x:sheetFormatPr defaultRowHeight="15"/>
  <x:cols>
    <x:col min="1" max="1" width="10" hidden="0" customWidth="1"/>
    <x:col min="2" max="2" width="11.25" hidden="0" customWidth="1"/>
    <x:col min="3" max="3" width="30.6299991607666" hidden="0" customWidth="1"/>
    <x:col min="4" max="4" width="15" hidden="0" customWidth="1"/>
    <x:col min="5" max="5" width="13.75" hidden="0" customWidth="1"/>
    <x:col min="6" max="6" width="13.75" hidden="0" customWidth="1"/>
    <x:col min="7" max="7" width="15" hidden="0" customWidth="1"/>
    <x:col min="8" max="8" width="15.630000114440918"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 min="16" max="16" width="10" hidden="0" customWidth="1"/>
    <x:col min="17" max="17" width="15.630000114440918" hidden="0" customWidth="1"/>
    <x:col min="18" max="18" width="15.630000114440918" hidden="0" customWidth="1"/>
    <x:col min="19" max="19" width="47.5" hidden="0" customWidth="1"/>
  </x:cols>
  <x:sheetData>
    <x:row r="1" ht="30" customHeight="1">
      <x:c r="A1" s="4"/>
      <x:c r="B1" s="4"/>
      <x:c r="C1" s="4"/>
      <x:c r="D1" s="4"/>
      <x:c r="E1" s="4"/>
      <x:c r="F1" s="4"/>
      <x:c r="G1" s="4"/>
      <x:c r="H1" s="4"/>
      <x:c r="I1" s="4"/>
      <x:c r="J1" s="4"/>
      <x:c r="K1" s="4"/>
      <x:c r="L1" s="4"/>
      <x:c r="M1" s="4"/>
      <x:c r="N1" s="4"/>
      <x:c r="O1" s="4"/>
      <x:c r="P1" s="4"/>
      <x:c r="Q1" s="4"/>
      <x:c r="R1" s="4"/>
      <x:c r="S1" s="4"/>
    </x:row>
    <x:row r="2" ht="32" customHeight="1">
      <x:c r="A2" s="6" t="str">
        <x:v>成本估算与分周预算（仿真人民币元）</x:v>
      </x:c>
      <x:c r="B2" s="4"/>
      <x:c r="C2" s="4"/>
      <x:c r="D2" s="4"/>
      <x:c r="E2" s="4"/>
      <x:c r="F2" s="4"/>
      <x:c r="G2" s="4"/>
      <x:c r="H2" s="4"/>
      <x:c r="I2" s="4"/>
      <x:c r="J2" s="4"/>
      <x:c r="K2" s="4"/>
      <x:c r="L2" s="4"/>
      <x:c r="M2" s="4"/>
      <x:c r="N2" s="4"/>
      <x:c r="O2" s="4"/>
      <x:c r="P2" s="4"/>
      <x:c r="Q2" s="4"/>
      <x:c r="R2" s="4"/>
      <x:c r="S2" s="4"/>
    </x:row>
    <x:row r="3" ht="30" customHeight="1">
      <x:c r="A3" s="8" t="str">
        <x:v>成本控制基准不含管理储备，总预算包含10%管理储备。本表为模拟估算，实际支出在发生后记录。</x:v>
      </x:c>
      <x:c r="B3" s="4"/>
      <x:c r="C3" s="4"/>
      <x:c r="D3" s="4"/>
      <x:c r="E3" s="4"/>
      <x:c r="F3" s="4"/>
      <x:c r="G3" s="4"/>
      <x:c r="H3" s="4"/>
      <x:c r="I3" s="4"/>
      <x:c r="J3" s="4"/>
      <x:c r="K3" s="4"/>
      <x:c r="L3" s="4"/>
      <x:c r="M3" s="4"/>
      <x:c r="N3" s="4"/>
      <x:c r="O3" s="4"/>
      <x:c r="P3" s="4"/>
      <x:c r="Q3" s="4"/>
      <x:c r="R3" s="4"/>
      <x:c r="S3" s="4"/>
    </x:row>
    <x:row r="4" ht="30" customHeight="1">
      <x:c r="A4" s="8" t="str">
        <x:v>人工按WBS分资源投入×费率自下而上汇总；C11为5%间接管理分摊；C14为独立管理储备。</x:v>
      </x:c>
      <x:c r="B4" s="4"/>
      <x:c r="C4" s="4"/>
      <x:c r="D4" s="4"/>
      <x:c r="E4" s="4"/>
      <x:c r="F4" s="4"/>
      <x:c r="G4" s="4"/>
      <x:c r="H4" s="4"/>
      <x:c r="I4" s="4"/>
      <x:c r="J4" s="4"/>
      <x:c r="K4" s="4"/>
      <x:c r="L4" s="4"/>
      <x:c r="M4" s="4"/>
      <x:c r="N4" s="4"/>
      <x:c r="O4" s="4"/>
      <x:c r="P4" s="4"/>
      <x:c r="Q4" s="4"/>
      <x:c r="R4" s="4"/>
      <x:c r="S4" s="4"/>
    </x:row>
    <x:row r="5" ht="30" customHeight="1">
      <x:c r="A5" s="4"/>
      <x:c r="B5" s="4"/>
      <x:c r="C5" s="4"/>
      <x:c r="D5" s="4"/>
      <x:c r="E5" s="4"/>
      <x:c r="F5" s="4"/>
      <x:c r="G5" s="4"/>
      <x:c r="H5" s="4"/>
      <x:c r="I5" s="4"/>
      <x:c r="J5" s="4"/>
      <x:c r="K5" s="4"/>
      <x:c r="L5" s="4"/>
      <x:c r="M5" s="4"/>
      <x:c r="N5" s="4"/>
      <x:c r="O5" s="4"/>
      <x:c r="P5" s="4"/>
      <x:c r="Q5" s="4"/>
      <x:c r="R5" s="4"/>
      <x:c r="S5" s="4"/>
    </x:row>
    <x:row r="6" ht="30" customHeight="1">
      <x:c r="A6" s="4"/>
      <x:c r="B6" s="4"/>
      <x:c r="C6" s="4"/>
      <x:c r="D6" s="4"/>
      <x:c r="E6" s="4"/>
      <x:c r="F6" s="4"/>
      <x:c r="G6" s="4"/>
      <x:c r="H6" s="4"/>
      <x:c r="I6" s="4"/>
      <x:c r="J6" s="4"/>
      <x:c r="K6" s="4"/>
      <x:c r="L6" s="4"/>
      <x:c r="M6" s="4"/>
      <x:c r="N6" s="4"/>
      <x:c r="O6" s="4"/>
      <x:c r="P6" s="4"/>
      <x:c r="Q6" s="4"/>
      <x:c r="R6" s="4"/>
      <x:c r="S6" s="4"/>
    </x:row>
    <x:row r="7" ht="38" customHeight="1">
      <x:c r="A7" s="11" t="str">
        <x:v>费用ID</x:v>
      </x:c>
      <x:c r="B7" s="11" t="str">
        <x:v>适用（是/否）</x:v>
      </x:c>
      <x:c r="C7" s="11" t="str">
        <x:v>费用项目</x:v>
      </x:c>
      <x:c r="D7" s="11" t="str">
        <x:v>成本类别</x:v>
      </x:c>
      <x:c r="E7" s="11" t="str">
        <x:v>计费单位</x:v>
      </x:c>
      <x:c r="F7" s="11" t="str">
        <x:v>数量/储备比例</x:v>
      </x:c>
      <x:c r="G7" s="11" t="str">
        <x:v>单价/储备（元）</x:v>
      </x:c>
      <x:c r="H7" s="11" t="str">
        <x:v>估算金额（元）</x:v>
      </x:c>
      <x:c r="I7" s="11" t="str">
        <x:v>W1预算</x:v>
      </x:c>
      <x:c r="J7" s="11" t="str">
        <x:v>W2预算</x:v>
      </x:c>
      <x:c r="K7" s="11" t="str">
        <x:v>W3预算</x:v>
      </x:c>
      <x:c r="L7" s="11" t="str">
        <x:v>W4预算</x:v>
      </x:c>
      <x:c r="M7" s="11" t="str">
        <x:v>W5预算</x:v>
      </x:c>
      <x:c r="N7" s="11" t="str">
        <x:v>W6预算</x:v>
      </x:c>
      <x:c r="O7" s="11" t="str">
        <x:v>W7预算</x:v>
      </x:c>
      <x:c r="P7" s="11" t="str">
        <x:v>W8预算</x:v>
      </x:c>
      <x:c r="Q7" s="11" t="str">
        <x:v>分周合计</x:v>
      </x:c>
      <x:c r="R7" s="11" t="str">
        <x:v>预算减估算</x:v>
      </x:c>
      <x:c r="S7" s="11" t="str">
        <x:v>估算依据/待确认事项</x:v>
      </x:c>
    </x:row>
    <x:row r="8" ht="112" customHeight="1">
      <x:c r="A8" s="9" t="str">
        <x:v>C01</x:v>
      </x:c>
      <x:c r="B8" s="9" t="str">
        <x:f>IF('资源计划'!A8="","",'资源计划'!A8)</x:f>
        <x:v>是</x:v>
      </x:c>
      <x:c r="C8" s="9" t="str">
        <x:v>R01直接人工</x:v>
      </x:c>
      <x:c r="D8" s="9" t="str">
        <x:v>直接人力</x:v>
      </x:c>
      <x:c r="E8" s="9" t="str">
        <x:v>人时</x:v>
      </x:c>
      <x:c r="F8" s="20" t="n">
        <x:f>IF(ISNUMBER('资源计划'!O8),'资源计划'!O8,"")</x:f>
        <x:v>243.00000000000003</x:v>
      </x:c>
      <x:c r="G8" s="20" t="n">
        <x:f>IF(ISNUMBER('资源计划'!F8),'资源计划'!F8,"")</x:f>
        <x:v>100</x:v>
      </x:c>
      <x:c r="H8" s="20" t="n">
        <x:f>IF(B8="否",0,IF(AND(B8="是",COUNT(F8:G8)=2),F8*G8,""))</x:f>
        <x:v>24300.000000000004</x:v>
      </x:c>
      <x:c r="I8" s="20" t="n">
        <x:f>IF(B8="否",0,IF(AND(B8="是",COUNT('资源计划'!G8,G8)=2),'资源计划'!G8*G8,""))</x:f>
        <x:v>3600</x:v>
      </x:c>
      <x:c r="J8" s="20" t="n">
        <x:f>IF(B8="否",0,IF(AND(B8="是",COUNT('资源计划'!H8,G8)=2),'资源计划'!H8*G8,""))</x:f>
        <x:v>2650.0000000000005</x:v>
      </x:c>
      <x:c r="K8" s="20" t="n">
        <x:f>IF(B8="否",0,IF(AND(B8="是",COUNT('资源计划'!I8,G8)=2),'资源计划'!I8*G8,""))</x:f>
        <x:v>2750</x:v>
      </x:c>
      <x:c r="L8" s="20" t="n">
        <x:f>IF(B8="否",0,IF(AND(B8="是",COUNT('资源计划'!J8,G8)=2),'资源计划'!J8*G8,""))</x:f>
        <x:v>2900</x:v>
      </x:c>
      <x:c r="M8" s="20" t="n">
        <x:f>IF(B8="否",0,IF(AND(B8="是",COUNT('资源计划'!K8,G8)=2),'资源计划'!K8*G8,""))</x:f>
        <x:v>3000</x:v>
      </x:c>
      <x:c r="N8" s="20" t="n">
        <x:f>IF(B8="否",0,IF(AND(B8="是",COUNT('资源计划'!L8,G8)=2),'资源计划'!L8*G8,""))</x:f>
        <x:v>3000.000000000001</x:v>
      </x:c>
      <x:c r="O8" s="20" t="n">
        <x:f>IF(B8="否",0,IF(AND(B8="是",COUNT('资源计划'!M8,G8)=2),'资源计划'!M8*G8,""))</x:f>
        <x:v>3466.666666666667</x:v>
      </x:c>
      <x:c r="P8" s="20" t="n">
        <x:f>IF(B8="否",0,IF(AND(B8="是",COUNT('资源计划'!N8,G8)=2),'资源计划'!N8*G8,""))</x:f>
        <x:v>2933.3333333333335</x:v>
      </x:c>
      <x:c r="Q8" s="20" t="n">
        <x:f>IF(B8="否",0,IF(AND(B8="是",COUNT(I8:P8)=8),SUM(I8:P8),""))</x:f>
        <x:v>24300</x:v>
      </x:c>
      <x:c r="R8" s="20" t="n">
        <x:f>IF(COUNT(H8,Q8)&lt;2,"",ROUND(Q8-H8,2))</x:f>
        <x:v>0</x:v>
      </x:c>
      <x:c r="S8" s="9" t="str">
        <x:v>自下而上法：任务分资源投入×仿真费率；按资源计划逐日/分周投入计，不含一般管理分摊。 均为模拟参数，逐周检查适用前提。</x:v>
      </x:c>
    </x:row>
    <x:row r="9" ht="112" customHeight="1">
      <x:c r="A9" s="9" t="str">
        <x:v>C02</x:v>
      </x:c>
      <x:c r="B9" s="9" t="str">
        <x:f>IF('资源计划'!A9="","",'资源计划'!A9)</x:f>
        <x:v>是</x:v>
      </x:c>
      <x:c r="C9" s="9" t="str">
        <x:v>R02直接人工</x:v>
      </x:c>
      <x:c r="D9" s="9" t="str">
        <x:v>直接人力</x:v>
      </x:c>
      <x:c r="E9" s="9" t="str">
        <x:v>人时</x:v>
      </x:c>
      <x:c r="F9" s="20" t="n">
        <x:f>IF(ISNUMBER('资源计划'!O9),'资源计划'!O9,"")</x:f>
        <x:v>229</x:v>
      </x:c>
      <x:c r="G9" s="20" t="n">
        <x:f>IF(ISNUMBER('资源计划'!F9),'资源计划'!F9,"")</x:f>
        <x:v>120</x:v>
      </x:c>
      <x:c r="H9" s="20" t="n">
        <x:f>IF(B9="否",0,IF(AND(B9="是",COUNT(F9:G9)=2),F9*G9,""))</x:f>
        <x:v>27480</x:v>
      </x:c>
      <x:c r="I9" s="20" t="n">
        <x:f>IF(B9="否",0,IF(AND(B9="是",COUNT('资源计划'!G9,G9)=2),'资源计划'!G9*G9,""))</x:f>
        <x:v>3600</x:v>
      </x:c>
      <x:c r="J9" s="20" t="n">
        <x:f>IF(B9="否",0,IF(AND(B9="是",COUNT('资源计划'!H9,G9)=2),'资源计划'!H9*G9,""))</x:f>
        <x:v>2939.9999999999995</x:v>
      </x:c>
      <x:c r="K9" s="20" t="n">
        <x:f>IF(B9="否",0,IF(AND(B9="是",COUNT('资源计划'!I9,G9)=2),'资源计划'!I9*G9,""))</x:f>
        <x:v>3660</x:v>
      </x:c>
      <x:c r="L9" s="20" t="n">
        <x:f>IF(B9="否",0,IF(AND(B9="是",COUNT('资源计划'!J9,G9)=2),'资源计划'!J9*G9,""))</x:f>
        <x:v>4559.999999999999</x:v>
      </x:c>
      <x:c r="M9" s="20" t="n">
        <x:f>IF(B9="否",0,IF(AND(B9="是",COUNT('资源计划'!K9,G9)=2),'资源计划'!K9*G9,""))</x:f>
        <x:v>3600</x:v>
      </x:c>
      <x:c r="N9" s="20" t="n">
        <x:f>IF(B9="否",0,IF(AND(B9="是",COUNT('资源计划'!L9,G9)=2),'资源计划'!L9*G9,""))</x:f>
        <x:v>4440</x:v>
      </x:c>
      <x:c r="O9" s="20" t="n">
        <x:f>IF(B9="否",0,IF(AND(B9="是",COUNT('资源计划'!M9,G9)=2),'资源计划'!M9*G9,""))</x:f>
        <x:v>3079.9999999999995</x:v>
      </x:c>
      <x:c r="P9" s="20" t="n">
        <x:f>IF(B9="否",0,IF(AND(B9="是",COUNT('资源计划'!N9,G9)=2),'资源计划'!N9*G9,""))</x:f>
        <x:v>1599.9999999999998</x:v>
      </x:c>
      <x:c r="Q9" s="20" t="n">
        <x:f>IF(B9="否",0,IF(AND(B9="是",COUNT(I9:P9)=8),SUM(I9:P9),""))</x:f>
        <x:v>27480</x:v>
      </x:c>
      <x:c r="R9" s="20" t="n">
        <x:f>IF(COUNT(H9,Q9)&lt;2,"",ROUND(Q9-H9,2))</x:f>
        <x:v>0</x:v>
      </x:c>
      <x:c r="S9" s="9" t="str">
        <x:v>自下而上法：任务分资源投入×仿真费率；按资源计划逐日/分周投入计，不含一般管理分摊。 均为模拟参数，逐周检查适用前提。</x:v>
      </x:c>
    </x:row>
    <x:row r="10" ht="112" customHeight="1">
      <x:c r="A10" s="9" t="str">
        <x:v>C03</x:v>
      </x:c>
      <x:c r="B10" s="9" t="str">
        <x:f>IF('资源计划'!A10="","",'资源计划'!A10)</x:f>
        <x:v>是</x:v>
      </x:c>
      <x:c r="C10" s="9" t="str">
        <x:v>R03直接人工</x:v>
      </x:c>
      <x:c r="D10" s="9" t="str">
        <x:v>直接人力</x:v>
      </x:c>
      <x:c r="E10" s="9" t="str">
        <x:v>人时</x:v>
      </x:c>
      <x:c r="F10" s="20" t="n">
        <x:f>IF(ISNUMBER('资源计划'!O10),'资源计划'!O10,"")</x:f>
        <x:v>182</x:v>
      </x:c>
      <x:c r="G10" s="20" t="n">
        <x:f>IF(ISNUMBER('资源计划'!F10),'资源计划'!F10,"")</x:f>
        <x:v>100</x:v>
      </x:c>
      <x:c r="H10" s="20" t="n">
        <x:f>IF(B10="否",0,IF(AND(B10="是",COUNT(F10:G10)=2),F10*G10,""))</x:f>
        <x:v>18200</x:v>
      </x:c>
      <x:c r="I10" s="20" t="n">
        <x:f>IF(B10="否",0,IF(AND(B10="是",COUNT('资源计划'!G10,G10)=2),'资源计划'!G10*G10,""))</x:f>
        <x:v>1600</x:v>
      </x:c>
      <x:c r="J10" s="20" t="n">
        <x:f>IF(B10="否",0,IF(AND(B10="是",COUNT('资源计划'!H10,G10)=2),'资源计划'!H10*G10,""))</x:f>
        <x:v>1550</x:v>
      </x:c>
      <x:c r="K10" s="20" t="n">
        <x:f>IF(B10="否",0,IF(AND(B10="是",COUNT('资源计划'!I10,G10)=2),'资源计划'!I10*G10,""))</x:f>
        <x:v>2950</x:v>
      </x:c>
      <x:c r="L10" s="20" t="n">
        <x:f>IF(B10="否",0,IF(AND(B10="是",COUNT('资源计划'!J10,G10)=2),'资源计划'!J10*G10,""))</x:f>
        <x:v>2766.666666666667</x:v>
      </x:c>
      <x:c r="M10" s="20" t="n">
        <x:f>IF(B10="否",0,IF(AND(B10="是",COUNT('资源计划'!K10,G10)=2),'资源计划'!K10*G10,""))</x:f>
        <x:v>2733.333333333333</x:v>
      </x:c>
      <x:c r="N10" s="20" t="n">
        <x:f>IF(B10="否",0,IF(AND(B10="是",COUNT('资源计划'!L10,G10)=2),'资源计划'!L10*G10,""))</x:f>
        <x:v>2400</x:v>
      </x:c>
      <x:c r="O10" s="20" t="n">
        <x:f>IF(B10="否",0,IF(AND(B10="是",COUNT('资源计划'!M10,G10)=2),'资源计划'!M10*G10,""))</x:f>
        <x:v>2666.6666666666665</x:v>
      </x:c>
      <x:c r="P10" s="20" t="n">
        <x:f>IF(B10="否",0,IF(AND(B10="是",COUNT('资源计划'!N10,G10)=2),'资源计划'!N10*G10,""))</x:f>
        <x:v>1533.3333333333333</x:v>
      </x:c>
      <x:c r="Q10" s="20" t="n">
        <x:f>IF(B10="否",0,IF(AND(B10="是",COUNT(I10:P10)=8),SUM(I10:P10),""))</x:f>
        <x:v>18200</x:v>
      </x:c>
      <x:c r="R10" s="20" t="n">
        <x:f>IF(COUNT(H10,Q10)&lt;2,"",ROUND(Q10-H10,2))</x:f>
        <x:v>0</x:v>
      </x:c>
      <x:c r="S10" s="9" t="str">
        <x:v>自下而上法：任务分资源投入×仿真费率；按资源计划逐日/分周投入计，不含一般管理分摊。 均为模拟参数，逐周检查适用前提。</x:v>
      </x:c>
    </x:row>
    <x:row r="11" ht="112" customHeight="1">
      <x:c r="A11" s="9" t="str">
        <x:v>C04</x:v>
      </x:c>
      <x:c r="B11" s="9" t="str">
        <x:f>IF('资源计划'!A11="","",'资源计划'!A11)</x:f>
        <x:v>是</x:v>
      </x:c>
      <x:c r="C11" s="9" t="str">
        <x:v>R04直接人工</x:v>
      </x:c>
      <x:c r="D11" s="9" t="str">
        <x:v>直接人力</x:v>
      </x:c>
      <x:c r="E11" s="9" t="str">
        <x:v>人时</x:v>
      </x:c>
      <x:c r="F11" s="20" t="n">
        <x:f>IF(ISNUMBER('资源计划'!O11),'资源计划'!O11,"")</x:f>
        <x:v>223</x:v>
      </x:c>
      <x:c r="G11" s="20" t="n">
        <x:f>IF(ISNUMBER('资源计划'!F11),'资源计划'!F11,"")</x:f>
        <x:v>90</x:v>
      </x:c>
      <x:c r="H11" s="20" t="n">
        <x:f>IF(B11="否",0,IF(AND(B11="是",COUNT(F11:G11)=2),F11*G11,""))</x:f>
        <x:v>20070</x:v>
      </x:c>
      <x:c r="I11" s="20" t="n">
        <x:f>IF(B11="否",0,IF(AND(B11="是",COUNT('资源计划'!G11,G11)=2),'资源计划'!G11*G11,""))</x:f>
        <x:v>3060</x:v>
      </x:c>
      <x:c r="J11" s="20" t="n">
        <x:f>IF(B11="否",0,IF(AND(B11="是",COUNT('资源计划'!H11,G11)=2),'资源计划'!H11*G11,""))</x:f>
        <x:v>2175</x:v>
      </x:c>
      <x:c r="K11" s="20" t="n">
        <x:f>IF(B11="否",0,IF(AND(B11="是",COUNT('资源计划'!I11,G11)=2),'资源计划'!I11*G11,""))</x:f>
        <x:v>1155</x:v>
      </x:c>
      <x:c r="L11" s="20" t="n">
        <x:f>IF(B11="否",0,IF(AND(B11="是",COUNT('资源计划'!J11,G11)=2),'资源计划'!J11*G11,""))</x:f>
        <x:v>1920.0000000000002</x:v>
      </x:c>
      <x:c r="M11" s="20" t="n">
        <x:f>IF(B11="否",0,IF(AND(B11="是",COUNT('资源计划'!K11,G11)=2),'资源计划'!K11*G11,""))</x:f>
        <x:v>2760</x:v>
      </x:c>
      <x:c r="N11" s="20" t="n">
        <x:f>IF(B11="否",0,IF(AND(B11="是",COUNT('资源计划'!L11,G11)=2),'资源计划'!L11*G11,""))</x:f>
        <x:v>3240</x:v>
      </x:c>
      <x:c r="O11" s="20" t="n">
        <x:f>IF(B11="否",0,IF(AND(B11="是",COUNT('资源计划'!M11,G11)=2),'资源计划'!M11*G11,""))</x:f>
        <x:v>3180</x:v>
      </x:c>
      <x:c r="P11" s="20" t="n">
        <x:f>IF(B11="否",0,IF(AND(B11="是",COUNT('资源计划'!N11,G11)=2),'资源计划'!N11*G11,""))</x:f>
        <x:v>2580</x:v>
      </x:c>
      <x:c r="Q11" s="20" t="n">
        <x:f>IF(B11="否",0,IF(AND(B11="是",COUNT(I11:P11)=8),SUM(I11:P11),""))</x:f>
        <x:v>20070</x:v>
      </x:c>
      <x:c r="R11" s="20" t="n">
        <x:f>IF(COUNT(H11,Q11)&lt;2,"",ROUND(Q11-H11,2))</x:f>
        <x:v>0</x:v>
      </x:c>
      <x:c r="S11" s="9" t="str">
        <x:v>自下而上法：任务分资源投入×仿真费率；按资源计划逐日/分周投入计，不含一般管理分摊。 均为模拟参数，逐周检查适用前提。</x:v>
      </x:c>
    </x:row>
    <x:row r="12" ht="112" customHeight="1">
      <x:c r="A12" s="9" t="str">
        <x:v>C05</x:v>
      </x:c>
      <x:c r="B12" s="9" t="str">
        <x:f>IF('资源计划'!A12="","",'资源计划'!A12)</x:f>
        <x:v>否</x:v>
      </x:c>
      <x:c r="C12" s="9" t="str">
        <x:v>R05直接人工</x:v>
      </x:c>
      <x:c r="D12" s="9" t="str">
        <x:v>直接人力</x:v>
      </x:c>
      <x:c r="E12" s="9" t="str">
        <x:v>人时</x:v>
      </x:c>
      <x:c r="F12" s="20" t="n">
        <x:f>IF(ISNUMBER('资源计划'!O12),'资源计划'!O12,"")</x:f>
        <x:v>0</x:v>
      </x:c>
      <x:c r="G12" s="20" t="n">
        <x:f>IF(ISNUMBER('资源计划'!F12),'资源计划'!F12,"")</x:f>
        <x:v>0</x:v>
      </x:c>
      <x:c r="H12" s="20" t="n">
        <x:f>IF(B12="否",0,IF(AND(B12="是",COUNT(F12:G12)=2),F12*G12,""))</x:f>
        <x:v>0</x:v>
      </x:c>
      <x:c r="I12" s="20" t="n">
        <x:f>IF(B12="否",0,IF(AND(B12="是",COUNT('资源计划'!G12,G12)=2),'资源计划'!G12*G12,""))</x:f>
        <x:v>0</x:v>
      </x:c>
      <x:c r="J12" s="20" t="n">
        <x:f>IF(B12="否",0,IF(AND(B12="是",COUNT('资源计划'!H12,G12)=2),'资源计划'!H12*G12,""))</x:f>
        <x:v>0</x:v>
      </x:c>
      <x:c r="K12" s="20" t="n">
        <x:f>IF(B12="否",0,IF(AND(B12="是",COUNT('资源计划'!I12,G12)=2),'资源计划'!I12*G12,""))</x:f>
        <x:v>0</x:v>
      </x:c>
      <x:c r="L12" s="20" t="n">
        <x:f>IF(B12="否",0,IF(AND(B12="是",COUNT('资源计划'!J12,G12)=2),'资源计划'!J12*G12,""))</x:f>
        <x:v>0</x:v>
      </x:c>
      <x:c r="M12" s="20" t="n">
        <x:f>IF(B12="否",0,IF(AND(B12="是",COUNT('资源计划'!K12,G12)=2),'资源计划'!K12*G12,""))</x:f>
        <x:v>0</x:v>
      </x:c>
      <x:c r="N12" s="20" t="n">
        <x:f>IF(B12="否",0,IF(AND(B12="是",COUNT('资源计划'!L12,G12)=2),'资源计划'!L12*G12,""))</x:f>
        <x:v>0</x:v>
      </x:c>
      <x:c r="O12" s="20" t="n">
        <x:f>IF(B12="否",0,IF(AND(B12="是",COUNT('资源计划'!M12,G12)=2),'资源计划'!M12*G12,""))</x:f>
        <x:v>0</x:v>
      </x:c>
      <x:c r="P12" s="20" t="n">
        <x:f>IF(B12="否",0,IF(AND(B12="是",COUNT('资源计划'!N12,G12)=2),'资源计划'!N12*G12,""))</x:f>
        <x:v>0</x:v>
      </x:c>
      <x:c r="Q12" s="20" t="n">
        <x:f>IF(B12="否",0,IF(AND(B12="是",COUNT(I12:P12)=8),SUM(I12:P12),""))</x:f>
        <x:v>0</x:v>
      </x:c>
      <x:c r="R12" s="20" t="n">
        <x:f>IF(COUNT(H12,Q12)&lt;2,"",ROUND(Q12-H12,2))</x:f>
        <x:v>0</x:v>
      </x:c>
      <x:c r="S12" s="9" t="str">
        <x:v>自下而上法：R05明确停用，估算与预算为0。 均为模拟参数，逐周检查适用前提。</x:v>
      </x:c>
    </x:row>
    <x:row r="13" ht="112" customHeight="1">
      <x:c r="A13" s="9" t="str">
        <x:v>C06</x:v>
      </x:c>
      <x:c r="B13" s="9" t="str">
        <x:v>是</x:v>
      </x:c>
      <x:c r="C13" s="9" t="str">
        <x:v>开发/测试部署资源</x:v>
      </x:c>
      <x:c r="D13" s="9" t="str">
        <x:v>直接非人力</x:v>
      </x:c>
      <x:c r="E13" s="9" t="str">
        <x:v>周</x:v>
      </x:c>
      <x:c r="F13" s="20" t="n">
        <x:v>8</x:v>
      </x:c>
      <x:c r="G13" s="20" t="n">
        <x:v>500</x:v>
      </x:c>
      <x:c r="H13" s="20" t="n">
        <x:f>IF(B13="否",0,IF(AND(B13="是",COUNT(F13:G13)=2),F13*G13,""))</x:f>
        <x:v>4000</x:v>
      </x:c>
      <x:c r="I13" s="20" t="n">
        <x:v>250</x:v>
      </x:c>
      <x:c r="J13" s="20" t="n">
        <x:v>250</x:v>
      </x:c>
      <x:c r="K13" s="20" t="n">
        <x:v>500</x:v>
      </x:c>
      <x:c r="L13" s="20" t="n">
        <x:v>500</x:v>
      </x:c>
      <x:c r="M13" s="20" t="n">
        <x:v>500</x:v>
      </x:c>
      <x:c r="N13" s="20" t="n">
        <x:v>750</x:v>
      </x:c>
      <x:c r="O13" s="20" t="n">
        <x:v>750</x:v>
      </x:c>
      <x:c r="P13" s="20" t="n">
        <x:v>500</x:v>
      </x:c>
      <x:c r="Q13" s="20" t="n">
        <x:f>IF(B13="否",0,IF(AND(B13="是",COUNT(I13:P13)=8),SUM(I13:P13),""))</x:f>
        <x:v>4000</x:v>
      </x:c>
      <x:c r="R13" s="20" t="n">
        <x:f>IF(COUNT(H13,Q13)&lt;2,"",ROUND(Q13-H13,2))</x:f>
        <x:v>0</x:v>
      </x:c>
      <x:c r="S13" s="9" t="str">
        <x:v>资源用量／固定额度法：仿真周预算：W1–2小型环境；W3–5应用/数据库；W6–7独立压测与恢复资源；W8移交 均为模拟参数，逐周检查适用前提。</x:v>
      </x:c>
    </x:row>
    <x:row r="14" ht="112" customHeight="1">
      <x:c r="A14" s="9" t="str">
        <x:v>C07</x:v>
      </x:c>
      <x:c r="B14" s="9" t="str">
        <x:v>是</x:v>
      </x:c>
      <x:c r="C14" s="9" t="str">
        <x:v>自动化工具与算力额度</x:v>
      </x:c>
      <x:c r="D14" s="9" t="str">
        <x:v>直接非人力</x:v>
      </x:c>
      <x:c r="E14" s="9" t="str">
        <x:v>周</x:v>
      </x:c>
      <x:c r="F14" s="20" t="n">
        <x:v>8</x:v>
      </x:c>
      <x:c r="G14" s="20" t="n">
        <x:v>250</x:v>
      </x:c>
      <x:c r="H14" s="20" t="n">
        <x:f>IF(B14="否",0,IF(AND(B14="是",COUNT(F14:G14)=2),F14*G14,""))</x:f>
        <x:v>2000</x:v>
      </x:c>
      <x:c r="I14" s="20" t="n">
        <x:v>150</x:v>
      </x:c>
      <x:c r="J14" s="20" t="n">
        <x:v>250</x:v>
      </x:c>
      <x:c r="K14" s="20" t="n">
        <x:v>350</x:v>
      </x:c>
      <x:c r="L14" s="20" t="n">
        <x:v>350</x:v>
      </x:c>
      <x:c r="M14" s="20" t="n">
        <x:v>350</x:v>
      </x:c>
      <x:c r="N14" s="20" t="n">
        <x:v>250</x:v>
      </x:c>
      <x:c r="O14" s="20" t="n">
        <x:v>200</x:v>
      </x:c>
      <x:c r="P14" s="20" t="n">
        <x:v>100</x:v>
      </x:c>
      <x:c r="Q14" s="20" t="n">
        <x:f>IF(B14="否",0,IF(AND(B14="是",COUNT(I14:P14)=8),SUM(I14:P14),""))</x:f>
        <x:v>2000</x:v>
      </x:c>
      <x:c r="R14" s="20" t="n">
        <x:f>IF(COUNT(H14,Q14)&lt;2,"",ROUND(Q14-H14,2))</x:f>
        <x:v>0</x:v>
      </x:c>
      <x:c r="S14" s="9" t="str">
        <x:v>资源用量／固定额度法：仿真额度，按开发密度分周配置，不引用真实套餐价格 均为模拟参数，逐周检查适用前提。</x:v>
      </x:c>
    </x:row>
    <x:row r="15" ht="112" customHeight="1">
      <x:c r="A15" s="9" t="str">
        <x:v>C08</x:v>
      </x:c>
      <x:c r="B15" s="9" t="str">
        <x:v>是</x:v>
      </x:c>
      <x:c r="C15" s="9" t="str">
        <x:v>开发工具与软件许可</x:v>
      </x:c>
      <x:c r="D15" s="9" t="str">
        <x:v>直接非人力</x:v>
      </x:c>
      <x:c r="E15" s="9" t="str">
        <x:v>项目许可预算</x:v>
      </x:c>
      <x:c r="F15" s="20" t="n">
        <x:v>1</x:v>
      </x:c>
      <x:c r="G15" s="20" t="n">
        <x:v>1500</x:v>
      </x:c>
      <x:c r="H15" s="20" t="n">
        <x:f>IF(B15="否",0,IF(AND(B15="是",COUNT(F15:G15)=2),F15*G15,""))</x:f>
        <x:v>1500</x:v>
      </x:c>
      <x:c r="I15" s="20" t="n">
        <x:v>1500</x:v>
      </x:c>
      <x:c r="J15" s="20" t="n">
        <x:v>0</x:v>
      </x:c>
      <x:c r="K15" s="20" t="n">
        <x:v>0</x:v>
      </x:c>
      <x:c r="L15" s="20" t="n">
        <x:v>0</x:v>
      </x:c>
      <x:c r="M15" s="20" t="n">
        <x:v>0</x:v>
      </x:c>
      <x:c r="N15" s="20" t="n">
        <x:v>0</x:v>
      </x:c>
      <x:c r="O15" s="20" t="n">
        <x:v>0</x:v>
      </x:c>
      <x:c r="P15" s="20" t="n">
        <x:v>0</x:v>
      </x:c>
      <x:c r="Q15" s="20" t="n">
        <x:f>IF(B15="否",0,IF(AND(B15="是",COUNT(I15:P15)=8),SUM(I15:P15),""))</x:f>
        <x:v>1500</x:v>
      </x:c>
      <x:c r="R15" s="20" t="n">
        <x:f>IF(COUNT(H15,Q15)&lt;2,"",ROUND(Q15-H15,2))</x:f>
        <x:v>0</x:v>
      </x:c>
      <x:c r="S15" s="9" t="str">
        <x:v>资源用量／固定额度法：仿真项目许可费用储值1500元；现有Project授权和实际采购情况未确认，不代表产品报价或已采购 均为模拟参数，逐周检查适用前提。</x:v>
      </x:c>
    </x:row>
    <x:row r="16" ht="112" customHeight="1">
      <x:c r="A16" s="9" t="str">
        <x:v>C09</x:v>
      </x:c>
      <x:c r="B16" s="9" t="str">
        <x:v>是</x:v>
      </x:c>
      <x:c r="C16" s="9" t="str">
        <x:v>设备租用与折旧分摊</x:v>
      </x:c>
      <x:c r="D16" s="9" t="str">
        <x:v>直接非人力</x:v>
      </x:c>
      <x:c r="E16" s="9" t="str">
        <x:v>台项目分摊</x:v>
      </x:c>
      <x:c r="F16" s="20" t="n">
        <x:v>4</x:v>
      </x:c>
      <x:c r="G16" s="20" t="n">
        <x:v>300</x:v>
      </x:c>
      <x:c r="H16" s="20" t="n">
        <x:f>IF(B16="否",0,IF(AND(B16="是",COUNT(F16:G16)=2),F16*G16,""))</x:f>
        <x:v>1200</x:v>
      </x:c>
      <x:c r="I16" s="20" t="n">
        <x:v>150</x:v>
      </x:c>
      <x:c r="J16" s="20" t="n">
        <x:v>150</x:v>
      </x:c>
      <x:c r="K16" s="20" t="n">
        <x:v>150</x:v>
      </x:c>
      <x:c r="L16" s="20" t="n">
        <x:v>150</x:v>
      </x:c>
      <x:c r="M16" s="20" t="n">
        <x:v>150</x:v>
      </x:c>
      <x:c r="N16" s="20" t="n">
        <x:v>150</x:v>
      </x:c>
      <x:c r="O16" s="20" t="n">
        <x:v>150</x:v>
      </x:c>
      <x:c r="P16" s="20" t="n">
        <x:v>150</x:v>
      </x:c>
      <x:c r="Q16" s="20" t="n">
        <x:f>IF(B16="否",0,IF(AND(B16="是",COUNT(I16:P16)=8),SUM(I16:P16),""))</x:f>
        <x:v>1200</x:v>
      </x:c>
      <x:c r="R16" s="20" t="n">
        <x:f>IF(COUNT(H16,Q16)&lt;2,"",ROUND(Q16-H16,2))</x:f>
        <x:v>0</x:v>
      </x:c>
      <x:c r="S16" s="9" t="str">
        <x:v>资源用量／固定额度法：仿真复用4台开发机，每台项目期折旧/租用分摊300元；不另行购买 均为模拟参数，逐周检查适用前提。</x:v>
      </x:c>
    </x:row>
    <x:row r="17" ht="112" customHeight="1">
      <x:c r="A17" s="9" t="str">
        <x:v>C10</x:v>
      </x:c>
      <x:c r="B17" s="9" t="str">
        <x:v>是</x:v>
      </x:c>
      <x:c r="C17" s="9" t="str">
        <x:v>部署培训及必要差旅</x:v>
      </x:c>
      <x:c r="D17" s="9" t="str">
        <x:v>直接非人力</x:v>
      </x:c>
      <x:c r="E17" s="9" t="str">
        <x:v>次远程培训资料</x:v>
      </x:c>
      <x:c r="F17" s="20" t="n">
        <x:v>1</x:v>
      </x:c>
      <x:c r="G17" s="20" t="n">
        <x:v>400</x:v>
      </x:c>
      <x:c r="H17" s="20" t="n">
        <x:f>IF(B17="否",0,IF(AND(B17="是",COUNT(F17:G17)=2),F17*G17,""))</x:f>
        <x:v>400</x:v>
      </x:c>
      <x:c r="I17" s="20" t="n">
        <x:v>0</x:v>
      </x:c>
      <x:c r="J17" s="20" t="n">
        <x:v>0</x:v>
      </x:c>
      <x:c r="K17" s="20" t="n">
        <x:v>0</x:v>
      </x:c>
      <x:c r="L17" s="20" t="n">
        <x:v>0</x:v>
      </x:c>
      <x:c r="M17" s="20" t="n">
        <x:v>0</x:v>
      </x:c>
      <x:c r="N17" s="20" t="n">
        <x:v>0</x:v>
      </x:c>
      <x:c r="O17" s="20" t="n">
        <x:v>0</x:v>
      </x:c>
      <x:c r="P17" s="20" t="n">
        <x:v>400</x:v>
      </x:c>
      <x:c r="Q17" s="20" t="n">
        <x:f>IF(B17="否",0,IF(AND(B17="是",COUNT(I17:P17)=8),SUM(I17:P17),""))</x:f>
        <x:v>400</x:v>
      </x:c>
      <x:c r="R17" s="20" t="n">
        <x:f>IF(COUNT(H17,Q17)&lt;2,"",ROUND(Q17-H17,2))</x:f>
        <x:v>0</x:v>
      </x:c>
      <x:c r="S17" s="9" t="str">
        <x:v>资源用量／固定额度法：一次远程培训材料和会务400元；不安排差旅，授课人工已计任务人时 均为模拟参数，逐周检查适用前提。</x:v>
      </x:c>
    </x:row>
    <x:row r="18" ht="112" customHeight="1">
      <x:c r="A18" s="9" t="str">
        <x:v>C11</x:v>
      </x:c>
      <x:c r="B18" s="9" t="str">
        <x:v>是</x:v>
      </x:c>
      <x:c r="C18" s="9" t="str">
        <x:v>一般管理人员费用分摊</x:v>
      </x:c>
      <x:c r="D18" s="9" t="str">
        <x:v>间接人力</x:v>
      </x:c>
      <x:c r="E18" s="9" t="str">
        <x:v>直接人工比例</x:v>
      </x:c>
      <x:c r="F18" s="43" t="n">
        <x:v>0.05</x:v>
      </x:c>
      <x:c r="G18" s="20" t="n">
        <x:f>SUM(H8:H12)</x:f>
        <x:v>90050</x:v>
      </x:c>
      <x:c r="H18" s="20" t="n">
        <x:f>IF(B18="否",0,IF(AND(B18="是",COUNT(F18:G18)=2),F18*G18,""))</x:f>
        <x:v>4502.5</x:v>
      </x:c>
      <x:c r="I18" s="20" t="n">
        <x:f>ROUND(SUM(I8:I12)*$F$18,2)</x:f>
        <x:v>593</x:v>
      </x:c>
      <x:c r="J18" s="20" t="n">
        <x:f>ROUND(SUM(J8:J12)*$F$18,2)</x:f>
        <x:v>465.75</x:v>
      </x:c>
      <x:c r="K18" s="20" t="n">
        <x:f>ROUND(SUM(K8:K12)*$F$18,2)</x:f>
        <x:v>525.75</x:v>
      </x:c>
      <x:c r="L18" s="20" t="n">
        <x:f>ROUND(SUM(L8:L12)*$F$18,2)</x:f>
        <x:v>607.33</x:v>
      </x:c>
      <x:c r="M18" s="20" t="n">
        <x:f>ROUND(SUM(M8:M12)*$F$18,2)</x:f>
        <x:v>604.67</x:v>
      </x:c>
      <x:c r="N18" s="20" t="n">
        <x:f>ROUND(SUM(N8:N12)*$F$18,2)</x:f>
        <x:v>654</x:v>
      </x:c>
      <x:c r="O18" s="20" t="n">
        <x:f>ROUND(SUM(O8:O12)*$F$18,2)</x:f>
        <x:v>619.67</x:v>
      </x:c>
      <x:c r="P18" s="20" t="n">
        <x:f>ROUND(SUM(P8:P12)*$F$18,2)</x:f>
        <x:v>432.33</x:v>
      </x:c>
      <x:c r="Q18" s="20" t="n">
        <x:f>IF(B18="否",0,IF(AND(B18="是",COUNT(I18:P18)=8),SUM(I18:P18),""))</x:f>
        <x:v>4502.5</x:v>
      </x:c>
      <x:c r="R18" s="20" t="n">
        <x:f>IF(COUNT(H18,Q18)&lt;2,"",ROUND(Q18-H18,2))</x:f>
        <x:v>0</x:v>
      </x:c>
      <x:c r="S18" s="9" t="str">
        <x:v>比例分摊法：直接人工的5%作为一般管理支持分摊；R01项目经理本人已计直接人工，不重复计算 均为模拟参数，逐周检查适用前提。</x:v>
      </x:c>
    </x:row>
    <x:row r="19" ht="112" customHeight="1">
      <x:c r="A19" s="9" t="str">
        <x:v>C12</x:v>
      </x:c>
      <x:c r="B19" s="9" t="str">
        <x:v>是</x:v>
      </x:c>
      <x:c r="C19" s="9" t="str">
        <x:v>房租水电及网络分摊</x:v>
      </x:c>
      <x:c r="D19" s="9" t="str">
        <x:v>间接非人力</x:v>
      </x:c>
      <x:c r="E19" s="9" t="str">
        <x:v>周分摊</x:v>
      </x:c>
      <x:c r="F19" s="20" t="n">
        <x:v>8</x:v>
      </x:c>
      <x:c r="G19" s="20" t="n">
        <x:v>300</x:v>
      </x:c>
      <x:c r="H19" s="20" t="n">
        <x:f>IF(B19="否",0,IF(AND(B19="是",COUNT(F19:G19)=2),F19*G19,""))</x:f>
        <x:v>2400</x:v>
      </x:c>
      <x:c r="I19" s="20" t="n">
        <x:v>300</x:v>
      </x:c>
      <x:c r="J19" s="20" t="n">
        <x:v>300</x:v>
      </x:c>
      <x:c r="K19" s="20" t="n">
        <x:v>300</x:v>
      </x:c>
      <x:c r="L19" s="20" t="n">
        <x:v>300</x:v>
      </x:c>
      <x:c r="M19" s="20" t="n">
        <x:v>300</x:v>
      </x:c>
      <x:c r="N19" s="20" t="n">
        <x:v>300</x:v>
      </x:c>
      <x:c r="O19" s="20" t="n">
        <x:v>300</x:v>
      </x:c>
      <x:c r="P19" s="20" t="n">
        <x:v>300</x:v>
      </x:c>
      <x:c r="Q19" s="20" t="n">
        <x:f>IF(B19="否",0,IF(AND(B19="是",COUNT(I19:P19)=8),SUM(I19:P19),""))</x:f>
        <x:v>2400</x:v>
      </x:c>
      <x:c r="R19" s="20" t="n">
        <x:f>IF(COUNT(H19,Q19)&lt;2,"",ROUND(Q19-H19,2))</x:f>
        <x:v>0</x:v>
      </x:c>
      <x:c r="S19" s="9" t="str">
        <x:v>资源用量／固定额度法：仿真4人共享空间8周，每周分摊300元，覆盖房租、水电及网络 均为模拟参数，逐周检查适用前提。</x:v>
      </x:c>
    </x:row>
    <x:row r="20" ht="112" customHeight="1">
      <x:c r="A20" s="9" t="str">
        <x:v>C13</x:v>
      </x:c>
      <x:c r="B20" s="9" t="str">
        <x:v>是</x:v>
      </x:c>
      <x:c r="C20" s="9" t="str">
        <x:v>共享办公与设施分摊</x:v>
      </x:c>
      <x:c r="D20" s="9" t="str">
        <x:v>间接非人力</x:v>
      </x:c>
      <x:c r="E20" s="9" t="str">
        <x:v>周分摊</x:v>
      </x:c>
      <x:c r="F20" s="20" t="n">
        <x:v>8</x:v>
      </x:c>
      <x:c r="G20" s="20" t="n">
        <x:v>100</x:v>
      </x:c>
      <x:c r="H20" s="20" t="n">
        <x:f>IF(B20="否",0,IF(AND(B20="是",COUNT(F20:G20)=2),F20*G20,""))</x:f>
        <x:v>800</x:v>
      </x:c>
      <x:c r="I20" s="20" t="n">
        <x:v>100</x:v>
      </x:c>
      <x:c r="J20" s="20" t="n">
        <x:v>100</x:v>
      </x:c>
      <x:c r="K20" s="20" t="n">
        <x:v>100</x:v>
      </x:c>
      <x:c r="L20" s="20" t="n">
        <x:v>100</x:v>
      </x:c>
      <x:c r="M20" s="20" t="n">
        <x:v>100</x:v>
      </x:c>
      <x:c r="N20" s="20" t="n">
        <x:v>100</x:v>
      </x:c>
      <x:c r="O20" s="20" t="n">
        <x:v>100</x:v>
      </x:c>
      <x:c r="P20" s="20" t="n">
        <x:v>100</x:v>
      </x:c>
      <x:c r="Q20" s="20" t="n">
        <x:f>IF(B20="否",0,IF(AND(B20="是",COUNT(I20:P20)=8),SUM(I20:P20),""))</x:f>
        <x:v>800</x:v>
      </x:c>
      <x:c r="R20" s="20" t="n">
        <x:f>IF(COUNT(H20,Q20)&lt;2,"",ROUND(Q20-H20,2))</x:f>
        <x:v>0</x:v>
      </x:c>
      <x:c r="S20" s="9" t="str">
        <x:v>资源用量／固定额度法：仿真共享打印、办公耗材及设施，每周100元；不含C09设备和C12房租水电 均为模拟参数，逐周检查适用前提。</x:v>
      </x:c>
    </x:row>
    <x:row r="21" ht="112" customHeight="1">
      <x:c r="A21" s="9" t="str">
        <x:v>C14</x:v>
      </x:c>
      <x:c r="B21" s="9" t="str">
        <x:v>是</x:v>
      </x:c>
      <x:c r="C21" s="9" t="str">
        <x:v>管理储备</x:v>
      </x:c>
      <x:c r="D21" s="9" t="str">
        <x:v>储备</x:v>
      </x:c>
      <x:c r="E21" s="9" t="str">
        <x:v>成本基准比例</x:v>
      </x:c>
      <x:c r="F21" s="43" t="n">
        <x:v>0.1</x:v>
      </x:c>
      <x:c r="G21" s="20" t="n">
        <x:f>ROUND(SUM(H8:H20)*F21,2)</x:f>
        <x:v>10685.25</x:v>
      </x:c>
      <x:c r="H21" s="20" t="n">
        <x:f>IF(B21="否",0,IF(AND(B21="是",ISNUMBER(G21)),G21,""))</x:f>
        <x:v>10685.25</x:v>
      </x:c>
      <x:c r="I21" s="20" t="n">
        <x:v>0</x:v>
      </x:c>
      <x:c r="J21" s="20" t="n">
        <x:v>0</x:v>
      </x:c>
      <x:c r="K21" s="20" t="n">
        <x:v>0</x:v>
      </x:c>
      <x:c r="L21" s="20" t="n">
        <x:v>0</x:v>
      </x:c>
      <x:c r="M21" s="20" t="n">
        <x:v>0</x:v>
      </x:c>
      <x:c r="N21" s="20" t="n">
        <x:v>0</x:v>
      </x:c>
      <x:c r="O21" s="20" t="n">
        <x:v>0</x:v>
      </x:c>
      <x:c r="P21" s="20" t="n">
        <x:f>H21</x:f>
        <x:v>10685.25</x:v>
      </x:c>
      <x:c r="Q21" s="20" t="n">
        <x:f>IF(B21="否",0,IF(AND(B21="是",COUNT(I21:P21)=8),SUM(I21:P21),""))</x:f>
        <x:v>10685.25</x:v>
      </x:c>
      <x:c r="R21" s="20" t="n">
        <x:f>IF(COUNT(H21,Q21)&lt;2,"",ROUND(Q21-H21,2))</x:f>
        <x:v>0</x:v>
      </x:c>
      <x:c r="S21" s="9" t="str">
        <x:v>成本基准的10%；仅用于未识别风险，经变更流程决定启用。W8为额度展示而非计划支出；不计入成本基准，不直接分配给RK01–RK05。</x:v>
      </x:c>
    </x:row>
    <x:row r="22" ht="30" customHeight="1">
      <x:c r="A22" s="4"/>
      <x:c r="B22" s="4"/>
      <x:c r="C22" s="4"/>
      <x:c r="D22" s="4"/>
      <x:c r="E22" s="4"/>
      <x:c r="F22" s="24"/>
      <x:c r="G22" s="24"/>
      <x:c r="H22" s="24"/>
      <x:c r="I22" s="24"/>
      <x:c r="J22" s="24"/>
      <x:c r="K22" s="24"/>
      <x:c r="L22" s="24"/>
      <x:c r="M22" s="24"/>
      <x:c r="N22" s="24"/>
      <x:c r="O22" s="24"/>
      <x:c r="P22" s="24"/>
      <x:c r="Q22" s="24"/>
      <x:c r="R22" s="24"/>
      <x:c r="S22" s="4"/>
    </x:row>
    <x:row r="23" ht="30" customHeight="1">
      <x:c r="A23" s="21"/>
      <x:c r="B23" s="21"/>
      <x:c r="C23" s="21" t="str">
        <x:v>含管理储备总预算</x:v>
      </x:c>
      <x:c r="D23" s="21"/>
      <x:c r="E23" s="21"/>
      <x:c r="F23" s="25"/>
      <x:c r="G23" s="25"/>
      <x:c r="H23" s="25" t="n">
        <x:f>IF(COUNT(H8:H21)=14,SUM(H8:H21),"")</x:f>
        <x:v>117537.75</x:v>
      </x:c>
      <x:c r="I23" s="25" t="n">
        <x:f>IF(COUNT(I8:I21)=14,SUM(I8:I21),"")</x:f>
        <x:v>14903</x:v>
      </x:c>
      <x:c r="J23" s="25" t="n">
        <x:f>IF(COUNT(J8:J21)=14,SUM(J8:J21),"")</x:f>
        <x:v>10830.75</x:v>
      </x:c>
      <x:c r="K23" s="25" t="n">
        <x:f>IF(COUNT(K8:K21)=14,SUM(K8:K21),"")</x:f>
        <x:v>12440.75</x:v>
      </x:c>
      <x:c r="L23" s="25" t="n">
        <x:f>IF(COUNT(L8:L21)=14,SUM(L8:L21),"")</x:f>
        <x:v>14153.996666666666</x:v>
      </x:c>
      <x:c r="M23" s="25" t="n">
        <x:f>IF(COUNT(M8:M21)=14,SUM(M8:M21),"")</x:f>
        <x:v>14098.003333333332</x:v>
      </x:c>
      <x:c r="N23" s="25" t="n">
        <x:f>IF(COUNT(N8:N21)=14,SUM(N8:N21),"")</x:f>
        <x:v>15284</x:v>
      </x:c>
      <x:c r="O23" s="25" t="n">
        <x:f>IF(COUNT(O8:O21)=14,SUM(O8:O21),"")</x:f>
        <x:v>14513.003333333332</x:v>
      </x:c>
      <x:c r="P23" s="25" t="n">
        <x:f>IF(COUNT(P8:P21)=14,SUM(P8:P21),"")</x:f>
        <x:v>21314.246666666666</x:v>
      </x:c>
      <x:c r="Q23" s="25" t="n">
        <x:f>IF(COUNT(Q8:Q21)=14,SUM(Q8:Q21),"")</x:f>
        <x:v>117537.75</x:v>
      </x:c>
      <x:c r="R23" s="25" t="n">
        <x:f>ROUND(Q23-H23,2)</x:f>
        <x:v>0</x:v>
      </x:c>
      <x:c r="S23" s="26" t="str">
        <x:v>总预算=成本控制基准+管理储备。储备W8为额度预留，不代表该周已实际支出。</x:v>
      </x:c>
    </x:row>
    <x:row r="24" ht="40" customHeight="1">
      <x:c r="A24" s="35"/>
      <x:c r="B24" s="35"/>
      <x:c r="C24" s="35" t="str">
        <x:v>成本控制基准</x:v>
      </x:c>
      <x:c r="D24" s="35"/>
      <x:c r="E24" s="35"/>
      <x:c r="F24" s="35"/>
      <x:c r="G24" s="35"/>
      <x:c r="H24" s="44" t="n">
        <x:f>SUM(H8:H20)</x:f>
        <x:v>106852.5</x:v>
      </x:c>
      <x:c r="I24" s="44" t="n">
        <x:f>SUM(I8:I20)</x:f>
        <x:v>14903</x:v>
      </x:c>
      <x:c r="J24" s="44" t="n">
        <x:f>SUM(J8:J20)</x:f>
        <x:v>10830.75</x:v>
      </x:c>
      <x:c r="K24" s="44" t="n">
        <x:f>SUM(K8:K20)</x:f>
        <x:v>12440.75</x:v>
      </x:c>
      <x:c r="L24" s="44" t="n">
        <x:f>SUM(L8:L20)</x:f>
        <x:v>14153.996666666666</x:v>
      </x:c>
      <x:c r="M24" s="44" t="n">
        <x:f>SUM(M8:M20)</x:f>
        <x:v>14098.003333333332</x:v>
      </x:c>
      <x:c r="N24" s="44" t="n">
        <x:f>SUM(N8:N20)</x:f>
        <x:v>15284</x:v>
      </x:c>
      <x:c r="O24" s="44" t="n">
        <x:f>SUM(O8:O20)</x:f>
        <x:v>14513.003333333332</x:v>
      </x:c>
      <x:c r="P24" s="44" t="n">
        <x:f>SUM(P8:P20)</x:f>
        <x:v>10628.996666666666</x:v>
      </x:c>
      <x:c r="Q24" s="44" t="n">
        <x:f>SUM(Q8:Q20)</x:f>
        <x:v>106852.5</x:v>
      </x:c>
      <x:c r="R24" s="35"/>
      <x:c r="S24" s="35"/>
    </x:row>
    <x:row r="25" ht="40" customHeight="1">
      <x:c r="A25" s="35"/>
      <x:c r="B25" s="35"/>
      <x:c r="C25" s="35" t="str">
        <x:v>其中：管理储备</x:v>
      </x:c>
      <x:c r="D25" s="35"/>
      <x:c r="E25" s="35"/>
      <x:c r="F25" s="35"/>
      <x:c r="G25" s="35"/>
      <x:c r="H25" s="44" t="n">
        <x:f>H21</x:f>
        <x:v>10685.25</x:v>
      </x:c>
      <x:c r="I25" s="44"/>
      <x:c r="J25" s="44"/>
      <x:c r="K25" s="44"/>
      <x:c r="L25" s="44"/>
      <x:c r="M25" s="44"/>
      <x:c r="N25" s="44"/>
      <x:c r="O25" s="44"/>
      <x:c r="P25" s="44"/>
      <x:c r="Q25" s="44" t="n">
        <x:f>Q21</x:f>
        <x:v>10685.25</x:v>
      </x:c>
      <x:c r="R25" s="35"/>
      <x:c r="S25" s="35"/>
    </x:row>
    <x:row r="26" ht="32" customHeight="1">
      <x:c r="A26" s="22" t="str">
        <x:v>成本填写说明</x:v>
      </x:c>
      <x:c r="B26" s="23"/>
      <x:c r="C26" s="23"/>
      <x:c r="D26" s="23"/>
      <x:c r="E26" s="23"/>
      <x:c r="F26" s="23"/>
      <x:c r="G26" s="23"/>
      <x:c r="H26" s="23"/>
      <x:c r="I26" s="23"/>
      <x:c r="J26" s="23"/>
      <x:c r="K26" s="23"/>
      <x:c r="L26" s="23"/>
      <x:c r="M26" s="23"/>
      <x:c r="N26" s="23"/>
      <x:c r="O26" s="23"/>
      <x:c r="P26" s="23"/>
      <x:c r="Q26" s="23"/>
      <x:c r="R26" s="23"/>
      <x:c r="S26" s="23"/>
    </x:row>
    <x:row r="27" ht="32" customHeight="1">
      <x:c r="A27" s="23" t="str">
        <x:v>分周预算对应任务日期与资源投入，不作为实际现金支付记录；不含交付后的长期产品运维。</x:v>
      </x:c>
      <x:c r="B27" s="23"/>
      <x:c r="C27" s="23"/>
      <x:c r="D27" s="23"/>
      <x:c r="E27" s="23"/>
      <x:c r="F27" s="23"/>
      <x:c r="G27" s="23"/>
      <x:c r="H27" s="23"/>
      <x:c r="I27" s="23"/>
      <x:c r="J27" s="23"/>
      <x:c r="K27" s="23"/>
      <x:c r="L27" s="23"/>
      <x:c r="M27" s="23"/>
      <x:c r="N27" s="23"/>
      <x:c r="O27" s="23"/>
      <x:c r="P27" s="23"/>
      <x:c r="Q27" s="23"/>
      <x:c r="R27" s="23"/>
      <x:c r="S27" s="23"/>
    </x:row>
    <x:row r="28" ht="32" customHeight="1">
      <x:c r="A28" s="23" t="str">
        <x:v>费率不含间接分摊；C11另按直接人工5%分摊，不重复计R01项目经理工时。</x:v>
      </x:c>
      <x:c r="B28" s="23"/>
      <x:c r="C28" s="23"/>
      <x:c r="D28" s="23"/>
      <x:c r="E28" s="23"/>
      <x:c r="F28" s="23"/>
      <x:c r="G28" s="23"/>
      <x:c r="H28" s="23"/>
      <x:c r="I28" s="23"/>
      <x:c r="J28" s="23"/>
      <x:c r="K28" s="23"/>
      <x:c r="L28" s="23"/>
      <x:c r="M28" s="23"/>
      <x:c r="N28" s="23"/>
      <x:c r="O28" s="23"/>
      <x:c r="P28" s="23"/>
      <x:c r="Q28" s="23"/>
      <x:c r="R28" s="23"/>
      <x:c r="S28" s="23"/>
    </x:row>
    <x:row r="29" ht="32" customHeight="1">
      <x:c r="A29" s="23" t="str">
        <x:v>C14管理储备为成本基准的10%，用于未识别风险，不计入成本基准。已识别风险的应急储备尚未单列，金额待评估。</x:v>
      </x:c>
      <x:c r="B29" s="23"/>
      <x:c r="C29" s="23"/>
      <x:c r="D29" s="23"/>
      <x:c r="E29" s="23"/>
      <x:c r="F29" s="23"/>
      <x:c r="G29" s="23"/>
      <x:c r="H29" s="23"/>
      <x:c r="I29" s="23"/>
      <x:c r="J29" s="23"/>
      <x:c r="K29" s="23"/>
      <x:c r="L29" s="23"/>
      <x:c r="M29" s="23"/>
      <x:c r="N29" s="23"/>
      <x:c r="O29" s="23"/>
      <x:c r="P29" s="23"/>
      <x:c r="Q29" s="23"/>
      <x:c r="R29" s="23"/>
      <x:c r="S29" s="23"/>
    </x:row>
    <x:row r="30" ht="32" customHeight="1">
      <x:c r="A30" s="23" t="str">
        <x:v>设备复用及折旧、远程培训、许可额度均为仿真假设；没有实际采购或市场报价。</x:v>
      </x:c>
      <x:c r="B30" s="23"/>
      <x:c r="C30" s="23"/>
      <x:c r="D30" s="23"/>
      <x:c r="E30" s="23"/>
      <x:c r="F30" s="23"/>
      <x:c r="G30" s="23"/>
      <x:c r="H30" s="23"/>
      <x:c r="I30" s="23"/>
      <x:c r="J30" s="23"/>
      <x:c r="K30" s="23"/>
      <x:c r="L30" s="23"/>
      <x:c r="M30" s="23"/>
      <x:c r="N30" s="23"/>
      <x:c r="O30" s="23"/>
      <x:c r="P30" s="23"/>
      <x:c r="Q30" s="23"/>
      <x:c r="R30" s="23"/>
      <x:c r="S30" s="23"/>
    </x:row>
    <x:row r="31" ht="32" customHeight="1">
      <x:c r="A31" s="23" t="str">
        <x:v>每周复核估算前提、资源负荷及预算偏差；调整工时、费率、排期、预算或储备前办理变更并同步Project。</x:v>
      </x:c>
      <x:c r="B31" s="23"/>
      <x:c r="C31" s="23"/>
      <x:c r="D31" s="23"/>
      <x:c r="E31" s="23"/>
      <x:c r="F31" s="23"/>
      <x:c r="G31" s="23"/>
      <x:c r="H31" s="23"/>
      <x:c r="I31" s="23"/>
      <x:c r="J31" s="23"/>
      <x:c r="K31" s="23"/>
      <x:c r="L31" s="23"/>
      <x:c r="M31" s="23"/>
      <x:c r="N31" s="23"/>
      <x:c r="O31" s="23"/>
      <x:c r="P31" s="23"/>
      <x:c r="Q31" s="23"/>
      <x:c r="R31" s="23"/>
      <x:c r="S31" s="23"/>
    </x:row>
    <x:row r="32" ht="32" customHeight="1">
      <x:c r="A32" s="23" t="str">
        <x:v>管理、评审和测试人时已在活动中计入；不得再以比例重复计入质量人工。C11仅为一般管理支持分摊。</x:v>
      </x:c>
      <x:c r="B32" s="23"/>
      <x:c r="C32" s="23"/>
      <x:c r="D32" s="23"/>
      <x:c r="E32" s="23"/>
      <x:c r="F32" s="23"/>
      <x:c r="G32" s="23"/>
      <x:c r="H32" s="23"/>
      <x:c r="I32" s="23"/>
      <x:c r="J32" s="23"/>
      <x:c r="K32" s="23"/>
      <x:c r="L32" s="23"/>
      <x:c r="M32" s="23"/>
      <x:c r="N32" s="23"/>
      <x:c r="O32" s="23"/>
      <x:c r="P32" s="23"/>
      <x:c r="Q32" s="23"/>
      <x:c r="R32" s="23"/>
      <x:c r="S32" s="23"/>
    </x:row>
    <x:row r="33" ht="30" customHeight="1">
      <x:c r="A33" s="4"/>
      <x:c r="B33" s="4"/>
      <x:c r="C33" s="4"/>
      <x:c r="D33" s="4"/>
      <x:c r="E33" s="4"/>
      <x:c r="F33" s="4"/>
      <x:c r="G33" s="4"/>
      <x:c r="H33" s="4"/>
      <x:c r="I33" s="4"/>
      <x:c r="J33" s="4"/>
      <x:c r="K33" s="4"/>
      <x:c r="L33" s="4"/>
      <x:c r="M33" s="4"/>
      <x:c r="N33" s="4"/>
      <x:c r="O33" s="4"/>
      <x:c r="P33" s="4"/>
      <x:c r="Q33" s="4"/>
      <x:c r="R33" s="4"/>
      <x:c r="S33" s="4"/>
    </x:row>
    <x:row r="34" ht="30" customHeight="1">
      <x:c r="A34" s="4"/>
      <x:c r="B34" s="4"/>
      <x:c r="C34" s="4"/>
      <x:c r="D34" s="4"/>
      <x:c r="E34" s="4"/>
      <x:c r="F34" s="4"/>
      <x:c r="G34" s="4"/>
      <x:c r="H34" s="4"/>
      <x:c r="I34" s="4"/>
      <x:c r="J34" s="4"/>
      <x:c r="K34" s="4"/>
      <x:c r="L34" s="4"/>
      <x:c r="M34" s="4"/>
      <x:c r="N34" s="4"/>
      <x:c r="O34" s="4"/>
      <x:c r="P34" s="4"/>
      <x:c r="Q34" s="4"/>
      <x:c r="R34" s="4"/>
      <x:c r="S34" s="4"/>
    </x:row>
    <x:row r="35" ht="28" customHeight="1">
      <x:c r="A35" s="60" t="str">
        <x:v>逐周成本控制（累计口径，人民币元）</x:v>
      </x:c>
      <x:c r="B35" s="60" t="str">
        <x:v>逐周成本控制（累计口径，人民币元）</x:v>
      </x:c>
      <x:c r="C35" s="60" t="str">
        <x:v>逐周成本控制（累计口径，人民币元）</x:v>
      </x:c>
      <x:c r="D35" s="60" t="str">
        <x:v>逐周成本控制（累计口径，人民币元）</x:v>
      </x:c>
      <x:c r="E35" s="60" t="str">
        <x:v>逐周成本控制（累计口径，人民币元）</x:v>
      </x:c>
      <x:c r="F35" s="60" t="str">
        <x:v>逐周成本控制（累计口径，人民币元）</x:v>
      </x:c>
      <x:c r="G35" s="60" t="str">
        <x:v>逐周成本控制（累计口径，人民币元）</x:v>
      </x:c>
      <x:c r="H35" s="60" t="str">
        <x:v>逐周成本控制（累计口径，人民币元）</x:v>
      </x:c>
      <x:c r="I35" s="60" t="str">
        <x:v>逐周成本控制（累计口径，人民币元）</x:v>
      </x:c>
      <x:c r="J35" s="60" t="str">
        <x:v>逐周成本控制（累计口径，人民币元）</x:v>
      </x:c>
      <x:c r="K35" s="60" t="str">
        <x:v>逐周成本控制（累计口径，人民币元）</x:v>
      </x:c>
      <x:c r="L35" s="60" t="str">
        <x:v>逐周成本控制（累计口径，人民币元）</x:v>
      </x:c>
      <x:c r="M35" s="60" t="str">
        <x:v>逐周成本控制（累计口径，人民币元）</x:v>
      </x:c>
      <x:c r="N35" s="60" t="str">
        <x:v>逐周成本控制（累计口径，人民币元）</x:v>
      </x:c>
      <x:c r="O35" s="60" t="str">
        <x:v>逐周成本控制（累计口径，人民币元）</x:v>
      </x:c>
      <x:c r="P35" s="60" t="str">
        <x:v>逐周成本控制（累计口径，人民币元）</x:v>
      </x:c>
      <x:c r="Q35" s="60" t="str">
        <x:v>逐周成本控制（累计口径，人民币元）</x:v>
      </x:c>
      <x:c r="R35" s="60" t="str">
        <x:v>逐周成本控制（累计口径，人民币元）</x:v>
      </x:c>
      <x:c r="S35" s="60" t="str">
        <x:v>逐周成本控制（累计口径，人民币元）</x:v>
      </x:c>
    </x:row>
    <x:row r="36" ht="36" customHeight="1">
      <x:c r="A36" s="63" t="str">
        <x:v>PV取成本控制基准，不含C14。AC、EV及实际处理记录在真实执行后填写；未发生时留空。每周复核不另增加既有活动工时。</x:v>
      </x:c>
      <x:c r="B36" s="63" t="str">
        <x:v>PV取成本控制基准，不含C14。AC、EV及实际处理记录在真实执行后填写；未发生时留空。每周复核不另增加既有活动工时。</x:v>
      </x:c>
      <x:c r="C36" s="63" t="str">
        <x:v>PV取成本控制基准，不含C14。AC、EV及实际处理记录在真实执行后填写；未发生时留空。每周复核不另增加既有活动工时。</x:v>
      </x:c>
      <x:c r="D36" s="63" t="str">
        <x:v>PV取成本控制基准，不含C14。AC、EV及实际处理记录在真实执行后填写；未发生时留空。每周复核不另增加既有活动工时。</x:v>
      </x:c>
      <x:c r="E36" s="63" t="str">
        <x:v>PV取成本控制基准，不含C14。AC、EV及实际处理记录在真实执行后填写；未发生时留空。每周复核不另增加既有活动工时。</x:v>
      </x:c>
      <x:c r="F36" s="63" t="str">
        <x:v>PV取成本控制基准，不含C14。AC、EV及实际处理记录在真实执行后填写；未发生时留空。每周复核不另增加既有活动工时。</x:v>
      </x:c>
      <x:c r="G36" s="63" t="str">
        <x:v>PV取成本控制基准，不含C14。AC、EV及实际处理记录在真实执行后填写；未发生时留空。每周复核不另增加既有活动工时。</x:v>
      </x:c>
      <x:c r="H36" s="63" t="str">
        <x:v>PV取成本控制基准，不含C14。AC、EV及实际处理记录在真实执行后填写；未发生时留空。每周复核不另增加既有活动工时。</x:v>
      </x:c>
      <x:c r="I36" s="63" t="str">
        <x:v>PV取成本控制基准，不含C14。AC、EV及实际处理记录在真实执行后填写；未发生时留空。每周复核不另增加既有活动工时。</x:v>
      </x:c>
      <x:c r="J36" s="63" t="str">
        <x:v>PV取成本控制基准，不含C14。AC、EV及实际处理记录在真实执行后填写；未发生时留空。每周复核不另增加既有活动工时。</x:v>
      </x:c>
      <x:c r="K36" s="63" t="str">
        <x:v>PV取成本控制基准，不含C14。AC、EV及实际处理记录在真实执行后填写；未发生时留空。每周复核不另增加既有活动工时。</x:v>
      </x:c>
      <x:c r="L36" s="63" t="str">
        <x:v>PV取成本控制基准，不含C14。AC、EV及实际处理记录在真实执行后填写；未发生时留空。每周复核不另增加既有活动工时。</x:v>
      </x:c>
      <x:c r="M36" s="63" t="str">
        <x:v>PV取成本控制基准，不含C14。AC、EV及实际处理记录在真实执行后填写；未发生时留空。每周复核不另增加既有活动工时。</x:v>
      </x:c>
      <x:c r="N36" s="63" t="str">
        <x:v>PV取成本控制基准，不含C14。AC、EV及实际处理记录在真实执行后填写；未发生时留空。每周复核不另增加既有活动工时。</x:v>
      </x:c>
      <x:c r="O36" s="63" t="str">
        <x:v>PV取成本控制基准，不含C14。AC、EV及实际处理记录在真实执行后填写；未发生时留空。每周复核不另增加既有活动工时。</x:v>
      </x:c>
      <x:c r="P36" s="63" t="str">
        <x:v>PV取成本控制基准，不含C14。AC、EV及实际处理记录在真实执行后填写；未发生时留空。每周复核不另增加既有活动工时。</x:v>
      </x:c>
      <x:c r="Q36" s="63" t="str">
        <x:v>PV取成本控制基准，不含C14。AC、EV及实际处理记录在真实执行后填写；未发生时留空。每周复核不另增加既有活动工时。</x:v>
      </x:c>
      <x:c r="R36" s="63" t="str">
        <x:v>PV取成本控制基准，不含C14。AC、EV及实际处理记录在真实执行后填写；未发生时留空。每周复核不另增加既有活动工时。</x:v>
      </x:c>
      <x:c r="S36" s="63" t="str">
        <x:v>PV取成本控制基准，不含C14。AC、EV及实际处理记录在真实执行后填写；未发生时留空。每周复核不另增加既有活动工时。</x:v>
      </x:c>
    </x:row>
    <x:row r="38" ht="48" customHeight="1">
      <x:c r="A38" s="60" t="str">
        <x:v>周次</x:v>
      </x:c>
      <x:c r="B38" s="60" t="str">
        <x:v>开始日期</x:v>
      </x:c>
      <x:c r="C38" s="60" t="str">
        <x:v>截止日期</x:v>
      </x:c>
      <x:c r="D38" s="60" t="str">
        <x:v>当周PV</x:v>
      </x:c>
      <x:c r="E38" s="60" t="str">
        <x:v>当周PV</x:v>
      </x:c>
      <x:c r="F38" s="60" t="str">
        <x:v>累计PV</x:v>
      </x:c>
      <x:c r="G38" s="60" t="str">
        <x:v>累计PV</x:v>
      </x:c>
      <x:c r="H38" s="60" t="str">
        <x:v>累计实际成本AC</x:v>
      </x:c>
      <x:c r="I38" s="60" t="str">
        <x:v>累计实际成本AC</x:v>
      </x:c>
      <x:c r="J38" s="60" t="str">
        <x:v>完成工作预算EV</x:v>
      </x:c>
      <x:c r="K38" s="60" t="str">
        <x:v>完成工作预算EV</x:v>
      </x:c>
      <x:c r="L38" s="60" t="str">
        <x:v>进度偏差SV</x:v>
      </x:c>
      <x:c r="M38" s="60" t="str">
        <x:v>进度偏差SV</x:v>
      </x:c>
      <x:c r="N38" s="60" t="str">
        <x:v>成本偏差CV</x:v>
      </x:c>
      <x:c r="O38" s="60" t="str">
        <x:v>成本偏差CV</x:v>
      </x:c>
      <x:c r="P38" s="60" t="str">
        <x:v>成本绩效CPI</x:v>
      </x:c>
      <x:c r="Q38" s="60" t="str">
        <x:v>成本绩效CPI</x:v>
      </x:c>
      <x:c r="R38" s="60" t="str">
        <x:v>原因／措施／关联CR</x:v>
      </x:c>
      <x:c r="S38" s="60" t="str">
        <x:v>原因／措施／关联CR</x:v>
      </x:c>
    </x:row>
    <x:row r="39" ht="44" customHeight="1">
      <x:c r="A39" s="63" t="str">
        <x:v>W1</x:v>
      </x:c>
      <x:c r="B39" s="69" t="d">
        <x:v>2026-10-19T00:00:00.000Z</x:v>
      </x:c>
      <x:c r="C39" s="69" t="d">
        <x:v>2026-10-25T00:00:00.000Z</x:v>
      </x:c>
      <x:c r="D39" s="70" t="n">
        <x:f>I24</x:f>
        <x:v>14903</x:v>
      </x:c>
      <x:c r="E39" s="70"/>
      <x:c r="F39" s="70" t="n">
        <x:f>SUM($D$39:D39)</x:f>
        <x:v>14903</x:v>
      </x:c>
      <x:c r="G39" s="70"/>
      <x:c r="H39" s="70"/>
      <x:c r="I39" s="70"/>
      <x:c r="J39" s="70"/>
      <x:c r="K39" s="70"/>
      <x:c r="L39" s="70" t="str">
        <x:f>IF(COUNT(J39,F39)=2,J39-F39,"")</x:f>
      </x:c>
      <x:c r="M39" s="70"/>
      <x:c r="N39" s="70" t="str">
        <x:f>IF(COUNT(J39,H39)=2,J39-H39,"")</x:f>
      </x:c>
      <x:c r="O39" s="70"/>
      <x:c r="P39" s="71" t="str">
        <x:f>IF(COUNT(J39,H39)&lt;2,"",IF(H39=0,"",J39/H39))</x:f>
      </x:c>
      <x:c r="Q39" s="71"/>
      <x:c r="R39" s="63"/>
      <x:c r="S39" s="63"/>
    </x:row>
    <x:row r="40" ht="44" customHeight="1">
      <x:c r="A40" s="63" t="str">
        <x:v>W2</x:v>
      </x:c>
      <x:c r="B40" s="69" t="d">
        <x:v>2026-10-26T00:00:00.000Z</x:v>
      </x:c>
      <x:c r="C40" s="69" t="d">
        <x:v>2026-11-01T00:00:00.000Z</x:v>
      </x:c>
      <x:c r="D40" s="70" t="n">
        <x:f>J24</x:f>
        <x:v>10830.75</x:v>
      </x:c>
      <x:c r="E40" s="70"/>
      <x:c r="F40" s="70" t="n">
        <x:f>SUM($D$39:D40)</x:f>
        <x:v>25733.75</x:v>
      </x:c>
      <x:c r="G40" s="70"/>
      <x:c r="H40" s="70"/>
      <x:c r="I40" s="70"/>
      <x:c r="J40" s="70"/>
      <x:c r="K40" s="70"/>
      <x:c r="L40" s="70" t="str">
        <x:f>IF(COUNT(J40,F40)=2,J40-F40,"")</x:f>
      </x:c>
      <x:c r="M40" s="70"/>
      <x:c r="N40" s="70" t="str">
        <x:f>IF(COUNT(J40,H40)=2,J40-H40,"")</x:f>
      </x:c>
      <x:c r="O40" s="70"/>
      <x:c r="P40" s="71" t="str">
        <x:f>IF(COUNT(J40,H40)&lt;2,"",IF(H40=0,"",J40/H40))</x:f>
      </x:c>
      <x:c r="Q40" s="71"/>
      <x:c r="R40" s="63"/>
      <x:c r="S40" s="63"/>
    </x:row>
    <x:row r="41" ht="44" customHeight="1">
      <x:c r="A41" s="63" t="str">
        <x:v>W3</x:v>
      </x:c>
      <x:c r="B41" s="69" t="d">
        <x:v>2026-11-02T00:00:00.000Z</x:v>
      </x:c>
      <x:c r="C41" s="69" t="d">
        <x:v>2026-11-08T00:00:00.000Z</x:v>
      </x:c>
      <x:c r="D41" s="70" t="n">
        <x:f>K24</x:f>
        <x:v>12440.75</x:v>
      </x:c>
      <x:c r="E41" s="70"/>
      <x:c r="F41" s="70" t="n">
        <x:f>SUM($D$39:D41)</x:f>
        <x:v>38174.5</x:v>
      </x:c>
      <x:c r="G41" s="70"/>
      <x:c r="H41" s="70"/>
      <x:c r="I41" s="70"/>
      <x:c r="J41" s="70"/>
      <x:c r="K41" s="70"/>
      <x:c r="L41" s="70" t="str">
        <x:f>IF(COUNT(J41,F41)=2,J41-F41,"")</x:f>
      </x:c>
      <x:c r="M41" s="70"/>
      <x:c r="N41" s="70" t="str">
        <x:f>IF(COUNT(J41,H41)=2,J41-H41,"")</x:f>
      </x:c>
      <x:c r="O41" s="70"/>
      <x:c r="P41" s="71" t="str">
        <x:f>IF(COUNT(J41,H41)&lt;2,"",IF(H41=0,"",J41/H41))</x:f>
      </x:c>
      <x:c r="Q41" s="71"/>
      <x:c r="R41" s="63"/>
      <x:c r="S41" s="63"/>
    </x:row>
    <x:row r="42" ht="44" customHeight="1">
      <x:c r="A42" s="63" t="str">
        <x:v>W4</x:v>
      </x:c>
      <x:c r="B42" s="69" t="d">
        <x:v>2026-11-09T00:00:00.000Z</x:v>
      </x:c>
      <x:c r="C42" s="69" t="d">
        <x:v>2026-11-15T00:00:00.000Z</x:v>
      </x:c>
      <x:c r="D42" s="70" t="n">
        <x:f>L24</x:f>
        <x:v>14153.996666666666</x:v>
      </x:c>
      <x:c r="E42" s="70"/>
      <x:c r="F42" s="70" t="n">
        <x:f>SUM($D$39:D42)</x:f>
        <x:v>52328.496666666666</x:v>
      </x:c>
      <x:c r="G42" s="70"/>
      <x:c r="H42" s="70"/>
      <x:c r="I42" s="70"/>
      <x:c r="J42" s="70"/>
      <x:c r="K42" s="70"/>
      <x:c r="L42" s="70" t="str">
        <x:f>IF(COUNT(J42,F42)=2,J42-F42,"")</x:f>
      </x:c>
      <x:c r="M42" s="70"/>
      <x:c r="N42" s="70" t="str">
        <x:f>IF(COUNT(J42,H42)=2,J42-H42,"")</x:f>
      </x:c>
      <x:c r="O42" s="70"/>
      <x:c r="P42" s="71" t="str">
        <x:f>IF(COUNT(J42,H42)&lt;2,"",IF(H42=0,"",J42/H42))</x:f>
      </x:c>
      <x:c r="Q42" s="71"/>
      <x:c r="R42" s="63"/>
      <x:c r="S42" s="63"/>
    </x:row>
    <x:row r="43" ht="44" customHeight="1">
      <x:c r="A43" s="63" t="str">
        <x:v>W5</x:v>
      </x:c>
      <x:c r="B43" s="69" t="d">
        <x:v>2026-11-16T00:00:00.000Z</x:v>
      </x:c>
      <x:c r="C43" s="69" t="d">
        <x:v>2026-11-22T00:00:00.000Z</x:v>
      </x:c>
      <x:c r="D43" s="70" t="n">
        <x:f>M24</x:f>
        <x:v>14098.003333333332</x:v>
      </x:c>
      <x:c r="E43" s="70"/>
      <x:c r="F43" s="70" t="n">
        <x:f>SUM($D$39:D43)</x:f>
        <x:v>66426.5</x:v>
      </x:c>
      <x:c r="G43" s="70"/>
      <x:c r="H43" s="70"/>
      <x:c r="I43" s="70"/>
      <x:c r="J43" s="70"/>
      <x:c r="K43" s="70"/>
      <x:c r="L43" s="70" t="str">
        <x:f>IF(COUNT(J43,F43)=2,J43-F43,"")</x:f>
      </x:c>
      <x:c r="M43" s="70"/>
      <x:c r="N43" s="70" t="str">
        <x:f>IF(COUNT(J43,H43)=2,J43-H43,"")</x:f>
      </x:c>
      <x:c r="O43" s="70"/>
      <x:c r="P43" s="71" t="str">
        <x:f>IF(COUNT(J43,H43)&lt;2,"",IF(H43=0,"",J43/H43))</x:f>
      </x:c>
      <x:c r="Q43" s="71"/>
      <x:c r="R43" s="63"/>
      <x:c r="S43" s="63"/>
    </x:row>
    <x:row r="44" ht="44" customHeight="1">
      <x:c r="A44" s="63" t="str">
        <x:v>W6</x:v>
      </x:c>
      <x:c r="B44" s="69" t="d">
        <x:v>2026-11-23T00:00:00.000Z</x:v>
      </x:c>
      <x:c r="C44" s="69" t="d">
        <x:v>2026-11-29T00:00:00.000Z</x:v>
      </x:c>
      <x:c r="D44" s="70" t="n">
        <x:f>N24</x:f>
        <x:v>15284</x:v>
      </x:c>
      <x:c r="E44" s="70"/>
      <x:c r="F44" s="70" t="n">
        <x:f>SUM($D$39:D44)</x:f>
        <x:v>81710.5</x:v>
      </x:c>
      <x:c r="G44" s="70"/>
      <x:c r="H44" s="70"/>
      <x:c r="I44" s="70"/>
      <x:c r="J44" s="70"/>
      <x:c r="K44" s="70"/>
      <x:c r="L44" s="70" t="str">
        <x:f>IF(COUNT(J44,F44)=2,J44-F44,"")</x:f>
      </x:c>
      <x:c r="M44" s="70"/>
      <x:c r="N44" s="70" t="str">
        <x:f>IF(COUNT(J44,H44)=2,J44-H44,"")</x:f>
      </x:c>
      <x:c r="O44" s="70"/>
      <x:c r="P44" s="71" t="str">
        <x:f>IF(COUNT(J44,H44)&lt;2,"",IF(H44=0,"",J44/H44))</x:f>
      </x:c>
      <x:c r="Q44" s="71"/>
      <x:c r="R44" s="63"/>
      <x:c r="S44" s="63"/>
    </x:row>
    <x:row r="45" ht="44" customHeight="1">
      <x:c r="A45" s="63" t="str">
        <x:v>W7</x:v>
      </x:c>
      <x:c r="B45" s="69" t="d">
        <x:v>2026-11-30T00:00:00.000Z</x:v>
      </x:c>
      <x:c r="C45" s="69" t="d">
        <x:v>2026-12-06T00:00:00.000Z</x:v>
      </x:c>
      <x:c r="D45" s="70" t="n">
        <x:f>O24</x:f>
        <x:v>14513.003333333332</x:v>
      </x:c>
      <x:c r="E45" s="70"/>
      <x:c r="F45" s="70" t="n">
        <x:f>SUM($D$39:D45)</x:f>
        <x:v>96223.50333333333</x:v>
      </x:c>
      <x:c r="G45" s="70"/>
      <x:c r="H45" s="70"/>
      <x:c r="I45" s="70"/>
      <x:c r="J45" s="70"/>
      <x:c r="K45" s="70"/>
      <x:c r="L45" s="70" t="str">
        <x:f>IF(COUNT(J45,F45)=2,J45-F45,"")</x:f>
      </x:c>
      <x:c r="M45" s="70"/>
      <x:c r="N45" s="70" t="str">
        <x:f>IF(COUNT(J45,H45)=2,J45-H45,"")</x:f>
      </x:c>
      <x:c r="O45" s="70"/>
      <x:c r="P45" s="71" t="str">
        <x:f>IF(COUNT(J45,H45)&lt;2,"",IF(H45=0,"",J45/H45))</x:f>
      </x:c>
      <x:c r="Q45" s="71"/>
      <x:c r="R45" s="63"/>
      <x:c r="S45" s="63"/>
    </x:row>
    <x:row r="46" ht="44" customHeight="1">
      <x:c r="A46" s="63" t="str">
        <x:v>W8</x:v>
      </x:c>
      <x:c r="B46" s="69" t="d">
        <x:v>2026-12-07T00:00:00.000Z</x:v>
      </x:c>
      <x:c r="C46" s="69" t="d">
        <x:v>2026-12-13T00:00:00.000Z</x:v>
      </x:c>
      <x:c r="D46" s="70" t="n">
        <x:f>P24</x:f>
        <x:v>10628.996666666666</x:v>
      </x:c>
      <x:c r="E46" s="70"/>
      <x:c r="F46" s="70" t="n">
        <x:f>SUM($D$39:D46)</x:f>
        <x:v>106852.5</x:v>
      </x:c>
      <x:c r="G46" s="70"/>
      <x:c r="H46" s="70"/>
      <x:c r="I46" s="70"/>
      <x:c r="J46" s="70"/>
      <x:c r="K46" s="70"/>
      <x:c r="L46" s="70" t="str">
        <x:f>IF(COUNT(J46,F46)=2,J46-F46,"")</x:f>
      </x:c>
      <x:c r="M46" s="70"/>
      <x:c r="N46" s="70" t="str">
        <x:f>IF(COUNT(J46,H46)=2,J46-H46,"")</x:f>
      </x:c>
      <x:c r="O46" s="70"/>
      <x:c r="P46" s="71" t="str">
        <x:f>IF(COUNT(J46,H46)&lt;2,"",IF(H46=0,"",J46/H46))</x:f>
      </x:c>
      <x:c r="Q46" s="71"/>
      <x:c r="R46" s="63"/>
      <x:c r="S46" s="63"/>
    </x:row>
    <x:row r="48" ht="44" customHeight="1">
      <x:c r="A48" s="63" t="str">
        <x:v>PV为计划完成工作预算；EV按已完成并可核验工作折算预算；AC为同一截止点累计实际成本。SV=EV−PV，CV=EV−AC，负值分别表示进度落后或相对已完成工作超支。</x:v>
      </x:c>
      <x:c r="B48" s="63" t="str">
        <x:v>PV为计划完成工作预算；EV按已完成并可核验工作折算预算；AC为同一截止点累计实际成本。SV=EV−PV，CV=EV−AC，负值分别表示进度落后或相对已完成工作超支。</x:v>
      </x:c>
      <x:c r="C48" s="63" t="str">
        <x:v>PV为计划完成工作预算；EV按已完成并可核验工作折算预算；AC为同一截止点累计实际成本。SV=EV−PV，CV=EV−AC，负值分别表示进度落后或相对已完成工作超支。</x:v>
      </x:c>
      <x:c r="D48" s="63" t="str">
        <x:v>PV为计划完成工作预算；EV按已完成并可核验工作折算预算；AC为同一截止点累计实际成本。SV=EV−PV，CV=EV−AC，负值分别表示进度落后或相对已完成工作超支。</x:v>
      </x:c>
      <x:c r="E48" s="63" t="str">
        <x:v>PV为计划完成工作预算；EV按已完成并可核验工作折算预算；AC为同一截止点累计实际成本。SV=EV−PV，CV=EV−AC，负值分别表示进度落后或相对已完成工作超支。</x:v>
      </x:c>
      <x:c r="F48" s="63" t="str">
        <x:v>PV为计划完成工作预算；EV按已完成并可核验工作折算预算；AC为同一截止点累计实际成本。SV=EV−PV，CV=EV−AC，负值分别表示进度落后或相对已完成工作超支。</x:v>
      </x:c>
      <x:c r="G48" s="63" t="str">
        <x:v>PV为计划完成工作预算；EV按已完成并可核验工作折算预算；AC为同一截止点累计实际成本。SV=EV−PV，CV=EV−AC，负值分别表示进度落后或相对已完成工作超支。</x:v>
      </x:c>
      <x:c r="H48" s="63" t="str">
        <x:v>PV为计划完成工作预算；EV按已完成并可核验工作折算预算；AC为同一截止点累计实际成本。SV=EV−PV，CV=EV−AC，负值分别表示进度落后或相对已完成工作超支。</x:v>
      </x:c>
      <x:c r="I48" s="63" t="str">
        <x:v>PV为计划完成工作预算；EV按已完成并可核验工作折算预算；AC为同一截止点累计实际成本。SV=EV−PV，CV=EV−AC，负值分别表示进度落后或相对已完成工作超支。</x:v>
      </x:c>
      <x:c r="J48" s="63" t="str">
        <x:v>PV为计划完成工作预算；EV按已完成并可核验工作折算预算；AC为同一截止点累计实际成本。SV=EV−PV，CV=EV−AC，负值分别表示进度落后或相对已完成工作超支。</x:v>
      </x:c>
      <x:c r="K48" s="63" t="str">
        <x:v>PV为计划完成工作预算；EV按已完成并可核验工作折算预算；AC为同一截止点累计实际成本。SV=EV−PV，CV=EV−AC，负值分别表示进度落后或相对已完成工作超支。</x:v>
      </x:c>
      <x:c r="L48" s="63" t="str">
        <x:v>PV为计划完成工作预算；EV按已完成并可核验工作折算预算；AC为同一截止点累计实际成本。SV=EV−PV，CV=EV−AC，负值分别表示进度落后或相对已完成工作超支。</x:v>
      </x:c>
      <x:c r="M48" s="63" t="str">
        <x:v>PV为计划完成工作预算；EV按已完成并可核验工作折算预算；AC为同一截止点累计实际成本。SV=EV−PV，CV=EV−AC，负值分别表示进度落后或相对已完成工作超支。</x:v>
      </x:c>
      <x:c r="N48" s="63" t="str">
        <x:v>PV为计划完成工作预算；EV按已完成并可核验工作折算预算；AC为同一截止点累计实际成本。SV=EV−PV，CV=EV−AC，负值分别表示进度落后或相对已完成工作超支。</x:v>
      </x:c>
      <x:c r="O48" s="63" t="str">
        <x:v>PV为计划完成工作预算；EV按已完成并可核验工作折算预算；AC为同一截止点累计实际成本。SV=EV−PV，CV=EV−AC，负值分别表示进度落后或相对已完成工作超支。</x:v>
      </x:c>
      <x:c r="P48" s="63" t="str">
        <x:v>PV为计划完成工作预算；EV按已完成并可核验工作折算预算；AC为同一截止点累计实际成本。SV=EV−PV，CV=EV−AC，负值分别表示进度落后或相对已完成工作超支。</x:v>
      </x:c>
      <x:c r="Q48" s="63" t="str">
        <x:v>PV为计划完成工作预算；EV按已完成并可核验工作折算预算；AC为同一截止点累计实际成本。SV=EV−PV，CV=EV−AC，负值分别表示进度落后或相对已完成工作超支。</x:v>
      </x:c>
      <x:c r="R48" s="63" t="str">
        <x:v>PV为计划完成工作预算；EV按已完成并可核验工作折算预算；AC为同一截止点累计实际成本。SV=EV−PV，CV=EV−AC，负值分别表示进度落后或相对已完成工作超支。</x:v>
      </x:c>
      <x:c r="S48" s="63" t="str">
        <x:v>PV为计划完成工作预算；EV按已完成并可核验工作折算预算；AC为同一截止点累计实际成本。SV=EV−PV，CV=EV−AC，负值分别表示进度落后或相对已完成工作超支。</x:v>
      </x:c>
    </x:row>
    <x:row r="49" ht="40" customHeight="1">
      <x:c r="A49" s="63" t="str">
        <x:v>CPI=EV÷AC；AC为0时CPI留空，不以0代替无法计算。AC与PV的资金支出差异不得单独当作成本绩效。实际金额、完成程度和凭证未知时保持空白。</x:v>
      </x:c>
      <x:c r="B49" s="63" t="str">
        <x:v>CPI=EV÷AC；AC为0时CPI留空，不以0代替无法计算。AC与PV的资金支出差异不得单独当作成本绩效。实际金额、完成程度和凭证未知时保持空白。</x:v>
      </x:c>
      <x:c r="C49" s="63" t="str">
        <x:v>CPI=EV÷AC；AC为0时CPI留空，不以0代替无法计算。AC与PV的资金支出差异不得单独当作成本绩效。实际金额、完成程度和凭证未知时保持空白。</x:v>
      </x:c>
      <x:c r="D49" s="63" t="str">
        <x:v>CPI=EV÷AC；AC为0时CPI留空，不以0代替无法计算。AC与PV的资金支出差异不得单独当作成本绩效。实际金额、完成程度和凭证未知时保持空白。</x:v>
      </x:c>
      <x:c r="E49" s="63" t="str">
        <x:v>CPI=EV÷AC；AC为0时CPI留空，不以0代替无法计算。AC与PV的资金支出差异不得单独当作成本绩效。实际金额、完成程度和凭证未知时保持空白。</x:v>
      </x:c>
      <x:c r="F49" s="63" t="str">
        <x:v>CPI=EV÷AC；AC为0时CPI留空，不以0代替无法计算。AC与PV的资金支出差异不得单独当作成本绩效。实际金额、完成程度和凭证未知时保持空白。</x:v>
      </x:c>
      <x:c r="G49" s="63" t="str">
        <x:v>CPI=EV÷AC；AC为0时CPI留空，不以0代替无法计算。AC与PV的资金支出差异不得单独当作成本绩效。实际金额、完成程度和凭证未知时保持空白。</x:v>
      </x:c>
      <x:c r="H49" s="63" t="str">
        <x:v>CPI=EV÷AC；AC为0时CPI留空，不以0代替无法计算。AC与PV的资金支出差异不得单独当作成本绩效。实际金额、完成程度和凭证未知时保持空白。</x:v>
      </x:c>
      <x:c r="I49" s="63" t="str">
        <x:v>CPI=EV÷AC；AC为0时CPI留空，不以0代替无法计算。AC与PV的资金支出差异不得单独当作成本绩效。实际金额、完成程度和凭证未知时保持空白。</x:v>
      </x:c>
      <x:c r="J49" s="63" t="str">
        <x:v>CPI=EV÷AC；AC为0时CPI留空，不以0代替无法计算。AC与PV的资金支出差异不得单独当作成本绩效。实际金额、完成程度和凭证未知时保持空白。</x:v>
      </x:c>
      <x:c r="K49" s="63" t="str">
        <x:v>CPI=EV÷AC；AC为0时CPI留空，不以0代替无法计算。AC与PV的资金支出差异不得单独当作成本绩效。实际金额、完成程度和凭证未知时保持空白。</x:v>
      </x:c>
      <x:c r="L49" s="63" t="str">
        <x:v>CPI=EV÷AC；AC为0时CPI留空，不以0代替无法计算。AC与PV的资金支出差异不得单独当作成本绩效。实际金额、完成程度和凭证未知时保持空白。</x:v>
      </x:c>
      <x:c r="M49" s="63" t="str">
        <x:v>CPI=EV÷AC；AC为0时CPI留空，不以0代替无法计算。AC与PV的资金支出差异不得单独当作成本绩效。实际金额、完成程度和凭证未知时保持空白。</x:v>
      </x:c>
      <x:c r="N49" s="63" t="str">
        <x:v>CPI=EV÷AC；AC为0时CPI留空，不以0代替无法计算。AC与PV的资金支出差异不得单独当作成本绩效。实际金额、完成程度和凭证未知时保持空白。</x:v>
      </x:c>
      <x:c r="O49" s="63" t="str">
        <x:v>CPI=EV÷AC；AC为0时CPI留空，不以0代替无法计算。AC与PV的资金支出差异不得单独当作成本绩效。实际金额、完成程度和凭证未知时保持空白。</x:v>
      </x:c>
      <x:c r="P49" s="63" t="str">
        <x:v>CPI=EV÷AC；AC为0时CPI留空，不以0代替无法计算。AC与PV的资金支出差异不得单独当作成本绩效。实际金额、完成程度和凭证未知时保持空白。</x:v>
      </x:c>
      <x:c r="Q49" s="63" t="str">
        <x:v>CPI=EV÷AC；AC为0时CPI留空，不以0代替无法计算。AC与PV的资金支出差异不得单独当作成本绩效。实际金额、完成程度和凭证未知时保持空白。</x:v>
      </x:c>
      <x:c r="R49" s="63" t="str">
        <x:v>CPI=EV÷AC；AC为0时CPI留空，不以0代替无法计算。AC与PV的资金支出差异不得单独当作成本绩效。实际金额、完成程度和凭证未知时保持空白。</x:v>
      </x:c>
      <x:c r="S49" s="63" t="str">
        <x:v>CPI=EV÷AC；AC为0时CPI留空，不以0代替无法计算。AC与PV的资金支出差异不得单独当作成本绩效。实际金额、完成程度和凭证未知时保持空白。</x:v>
      </x:c>
    </x:row>
    <x:row r="50" ht="44" customHeight="1">
      <x:c r="A50" s="63" t="str">
        <x:v>每周调查偏差原因，复核剩余工作和风险；先优化分工及依赖，必要时协商交付优先级。变更范围、日期、工时、费率、预算、储备或验收标准前办理CR并同步基线；不得通过取消必要测试抵销偏差。</x:v>
      </x:c>
      <x:c r="B50" s="63" t="str">
        <x:v>每周调查偏差原因，复核剩余工作和风险；先优化分工及依赖，必要时协商交付优先级。变更范围、日期、工时、费率、预算、储备或验收标准前办理CR并同步基线；不得通过取消必要测试抵销偏差。</x:v>
      </x:c>
      <x:c r="C50" s="63" t="str">
        <x:v>每周调查偏差原因，复核剩余工作和风险；先优化分工及依赖，必要时协商交付优先级。变更范围、日期、工时、费率、预算、储备或验收标准前办理CR并同步基线；不得通过取消必要测试抵销偏差。</x:v>
      </x:c>
      <x:c r="D50" s="63" t="str">
        <x:v>每周调查偏差原因，复核剩余工作和风险；先优化分工及依赖，必要时协商交付优先级。变更范围、日期、工时、费率、预算、储备或验收标准前办理CR并同步基线；不得通过取消必要测试抵销偏差。</x:v>
      </x:c>
      <x:c r="E50" s="63" t="str">
        <x:v>每周调查偏差原因，复核剩余工作和风险；先优化分工及依赖，必要时协商交付优先级。变更范围、日期、工时、费率、预算、储备或验收标准前办理CR并同步基线；不得通过取消必要测试抵销偏差。</x:v>
      </x:c>
      <x:c r="F50" s="63" t="str">
        <x:v>每周调查偏差原因，复核剩余工作和风险；先优化分工及依赖，必要时协商交付优先级。变更范围、日期、工时、费率、预算、储备或验收标准前办理CR并同步基线；不得通过取消必要测试抵销偏差。</x:v>
      </x:c>
      <x:c r="G50" s="63" t="str">
        <x:v>每周调查偏差原因，复核剩余工作和风险；先优化分工及依赖，必要时协商交付优先级。变更范围、日期、工时、费率、预算、储备或验收标准前办理CR并同步基线；不得通过取消必要测试抵销偏差。</x:v>
      </x:c>
      <x:c r="H50" s="63" t="str">
        <x:v>每周调查偏差原因，复核剩余工作和风险；先优化分工及依赖，必要时协商交付优先级。变更范围、日期、工时、费率、预算、储备或验收标准前办理CR并同步基线；不得通过取消必要测试抵销偏差。</x:v>
      </x:c>
      <x:c r="I50" s="63" t="str">
        <x:v>每周调查偏差原因，复核剩余工作和风险；先优化分工及依赖，必要时协商交付优先级。变更范围、日期、工时、费率、预算、储备或验收标准前办理CR并同步基线；不得通过取消必要测试抵销偏差。</x:v>
      </x:c>
      <x:c r="J50" s="63" t="str">
        <x:v>每周调查偏差原因，复核剩余工作和风险；先优化分工及依赖，必要时协商交付优先级。变更范围、日期、工时、费率、预算、储备或验收标准前办理CR并同步基线；不得通过取消必要测试抵销偏差。</x:v>
      </x:c>
      <x:c r="K50" s="63" t="str">
        <x:v>每周调查偏差原因，复核剩余工作和风险；先优化分工及依赖，必要时协商交付优先级。变更范围、日期、工时、费率、预算、储备或验收标准前办理CR并同步基线；不得通过取消必要测试抵销偏差。</x:v>
      </x:c>
      <x:c r="L50" s="63" t="str">
        <x:v>每周调查偏差原因，复核剩余工作和风险；先优化分工及依赖，必要时协商交付优先级。变更范围、日期、工时、费率、预算、储备或验收标准前办理CR并同步基线；不得通过取消必要测试抵销偏差。</x:v>
      </x:c>
      <x:c r="M50" s="63" t="str">
        <x:v>每周调查偏差原因，复核剩余工作和风险；先优化分工及依赖，必要时协商交付优先级。变更范围、日期、工时、费率、预算、储备或验收标准前办理CR并同步基线；不得通过取消必要测试抵销偏差。</x:v>
      </x:c>
      <x:c r="N50" s="63" t="str">
        <x:v>每周调查偏差原因，复核剩余工作和风险；先优化分工及依赖，必要时协商交付优先级。变更范围、日期、工时、费率、预算、储备或验收标准前办理CR并同步基线；不得通过取消必要测试抵销偏差。</x:v>
      </x:c>
      <x:c r="O50" s="63" t="str">
        <x:v>每周调查偏差原因，复核剩余工作和风险；先优化分工及依赖，必要时协商交付优先级。变更范围、日期、工时、费率、预算、储备或验收标准前办理CR并同步基线；不得通过取消必要测试抵销偏差。</x:v>
      </x:c>
      <x:c r="P50" s="63" t="str">
        <x:v>每周调查偏差原因，复核剩余工作和风险；先优化分工及依赖，必要时协商交付优先级。变更范围、日期、工时、费率、预算、储备或验收标准前办理CR并同步基线；不得通过取消必要测试抵销偏差。</x:v>
      </x:c>
      <x:c r="Q50" s="63" t="str">
        <x:v>每周调查偏差原因，复核剩余工作和风险；先优化分工及依赖，必要时协商交付优先级。变更范围、日期、工时、费率、预算、储备或验收标准前办理CR并同步基线；不得通过取消必要测试抵销偏差。</x:v>
      </x:c>
      <x:c r="R50" s="63" t="str">
        <x:v>每周调查偏差原因，复核剩余工作和风险；先优化分工及依赖，必要时协商交付优先级。变更范围、日期、工时、费率、预算、储备或验收标准前办理CR并同步基线；不得通过取消必要测试抵销偏差。</x:v>
      </x:c>
      <x:c r="S50" s="63" t="str">
        <x:v>每周调查偏差原因，复核剩余工作和风险；先优化分工及依赖，必要时协商交付优先级。变更范围、日期、工时、费率、预算、储备或验收标准前办理CR并同步基线；不得通过取消必要测试抵销偏差。</x:v>
      </x:c>
    </x:row>
    <x:row r="53" ht="28" customHeight="1">
      <x:c r="A53" s="60" t="str">
        <x:v>储备分类与待评估额度（不计入本版已确定预算）</x:v>
      </x:c>
      <x:c r="B53" s="60" t="str">
        <x:v>储备分类与待评估额度（不计入本版已确定预算）</x:v>
      </x:c>
      <x:c r="C53" s="60" t="str">
        <x:v>储备分类与待评估额度（不计入本版已确定预算）</x:v>
      </x:c>
      <x:c r="D53" s="60" t="str">
        <x:v>储备分类与待评估额度（不计入本版已确定预算）</x:v>
      </x:c>
      <x:c r="E53" s="60" t="str">
        <x:v>储备分类与待评估额度（不计入本版已确定预算）</x:v>
      </x:c>
      <x:c r="F53" s="60" t="str">
        <x:v>储备分类与待评估额度（不计入本版已确定预算）</x:v>
      </x:c>
      <x:c r="G53" s="60" t="str">
        <x:v>储备分类与待评估额度（不计入本版已确定预算）</x:v>
      </x:c>
      <x:c r="H53" s="60" t="str">
        <x:v>储备分类与待评估额度（不计入本版已确定预算）</x:v>
      </x:c>
      <x:c r="I53" s="60" t="str">
        <x:v>储备分类与待评估额度（不计入本版已确定预算）</x:v>
      </x:c>
      <x:c r="J53" s="60" t="str">
        <x:v>储备分类与待评估额度（不计入本版已确定预算）</x:v>
      </x:c>
      <x:c r="K53" s="60" t="str">
        <x:v>储备分类与待评估额度（不计入本版已确定预算）</x:v>
      </x:c>
      <x:c r="L53" s="60" t="str">
        <x:v>储备分类与待评估额度（不计入本版已确定预算）</x:v>
      </x:c>
      <x:c r="M53" s="60" t="str">
        <x:v>储备分类与待评估额度（不计入本版已确定预算）</x:v>
      </x:c>
      <x:c r="N53" s="60" t="str">
        <x:v>储备分类与待评估额度（不计入本版已确定预算）</x:v>
      </x:c>
      <x:c r="O53" s="60" t="str">
        <x:v>储备分类与待评估额度（不计入本版已确定预算）</x:v>
      </x:c>
      <x:c r="P53" s="60" t="str">
        <x:v>储备分类与待评估额度（不计入本版已确定预算）</x:v>
      </x:c>
      <x:c r="Q53" s="60" t="str">
        <x:v>储备分类与待评估额度（不计入本版已确定预算）</x:v>
      </x:c>
      <x:c r="R53" s="60" t="str">
        <x:v>储备分类与待评估额度（不计入本版已确定预算）</x:v>
      </x:c>
      <x:c r="S53" s="60" t="str">
        <x:v>储备分类与待评估额度（不计入本版已确定预算）</x:v>
      </x:c>
    </x:row>
    <x:row r="54" ht="40" customHeight="1">
      <x:c r="A54" s="63" t="str">
        <x:v>C14管理储备保持10,685.25元，仅用于未识别风险。已识别风险的常规防范工作已安排在基准任务／费用中；独立应急储备尚未量化，不能视为0或已落实。</x:v>
      </x:c>
      <x:c r="B54" s="63" t="str">
        <x:v>C14管理储备保持10,685.25元，仅用于未识别风险。已识别风险的常规防范工作已安排在基准任务／费用中；独立应急储备尚未量化，不能视为0或已落实。</x:v>
      </x:c>
      <x:c r="C54" s="63" t="str">
        <x:v>C14管理储备保持10,685.25元，仅用于未识别风险。已识别风险的常规防范工作已安排在基准任务／费用中；独立应急储备尚未量化，不能视为0或已落实。</x:v>
      </x:c>
      <x:c r="D54" s="63" t="str">
        <x:v>C14管理储备保持10,685.25元，仅用于未识别风险。已识别风险的常规防范工作已安排在基准任务／费用中；独立应急储备尚未量化，不能视为0或已落实。</x:v>
      </x:c>
      <x:c r="E54" s="63" t="str">
        <x:v>C14管理储备保持10,685.25元，仅用于未识别风险。已识别风险的常规防范工作已安排在基准任务／费用中；独立应急储备尚未量化，不能视为0或已落实。</x:v>
      </x:c>
      <x:c r="F54" s="63" t="str">
        <x:v>C14管理储备保持10,685.25元，仅用于未识别风险。已识别风险的常规防范工作已安排在基准任务／费用中；独立应急储备尚未量化，不能视为0或已落实。</x:v>
      </x:c>
      <x:c r="G54" s="63" t="str">
        <x:v>C14管理储备保持10,685.25元，仅用于未识别风险。已识别风险的常规防范工作已安排在基准任务／费用中；独立应急储备尚未量化，不能视为0或已落实。</x:v>
      </x:c>
      <x:c r="H54" s="63" t="str">
        <x:v>C14管理储备保持10,685.25元，仅用于未识别风险。已识别风险的常规防范工作已安排在基准任务／费用中；独立应急储备尚未量化，不能视为0或已落实。</x:v>
      </x:c>
      <x:c r="I54" s="63" t="str">
        <x:v>C14管理储备保持10,685.25元，仅用于未识别风险。已识别风险的常规防范工作已安排在基准任务／费用中；独立应急储备尚未量化，不能视为0或已落实。</x:v>
      </x:c>
      <x:c r="J54" s="63" t="str">
        <x:v>C14管理储备保持10,685.25元，仅用于未识别风险。已识别风险的常规防范工作已安排在基准任务／费用中；独立应急储备尚未量化，不能视为0或已落实。</x:v>
      </x:c>
      <x:c r="K54" s="63" t="str">
        <x:v>C14管理储备保持10,685.25元，仅用于未识别风险。已识别风险的常规防范工作已安排在基准任务／费用中；独立应急储备尚未量化，不能视为0或已落实。</x:v>
      </x:c>
      <x:c r="L54" s="63" t="str">
        <x:v>C14管理储备保持10,685.25元，仅用于未识别风险。已识别风险的常规防范工作已安排在基准任务／费用中；独立应急储备尚未量化，不能视为0或已落实。</x:v>
      </x:c>
      <x:c r="M54" s="63" t="str">
        <x:v>C14管理储备保持10,685.25元，仅用于未识别风险。已识别风险的常规防范工作已安排在基准任务／费用中；独立应急储备尚未量化，不能视为0或已落实。</x:v>
      </x:c>
      <x:c r="N54" s="63" t="str">
        <x:v>C14管理储备保持10,685.25元，仅用于未识别风险。已识别风险的常规防范工作已安排在基准任务／费用中；独立应急储备尚未量化，不能视为0或已落实。</x:v>
      </x:c>
      <x:c r="O54" s="63" t="str">
        <x:v>C14管理储备保持10,685.25元，仅用于未识别风险。已识别风险的常规防范工作已安排在基准任务／费用中；独立应急储备尚未量化，不能视为0或已落实。</x:v>
      </x:c>
      <x:c r="P54" s="63" t="str">
        <x:v>C14管理储备保持10,685.25元，仅用于未识别风险。已识别风险的常规防范工作已安排在基准任务／费用中；独立应急储备尚未量化，不能视为0或已落实。</x:v>
      </x:c>
      <x:c r="Q54" s="63" t="str">
        <x:v>C14管理储备保持10,685.25元，仅用于未识别风险。已识别风险的常规防范工作已安排在基准任务／费用中；独立应急储备尚未量化，不能视为0或已落实。</x:v>
      </x:c>
      <x:c r="R54" s="63" t="str">
        <x:v>C14管理储备保持10,685.25元，仅用于未识别风险。已识别风险的常规防范工作已安排在基准任务／费用中；独立应急储备尚未量化，不能视为0或已落实。</x:v>
      </x:c>
      <x:c r="S54" s="63" t="str">
        <x:v>C14管理储备保持10,685.25元，仅用于未识别风险。已识别风险的常规防范工作已安排在基准任务／费用中；独立应急储备尚未量化，不能视为0或已落实。</x:v>
      </x:c>
    </x:row>
    <x:row r="56" ht="48" customHeight="1">
      <x:c r="A56" s="60" t="str">
        <x:v>风险ID</x:v>
      </x:c>
      <x:c r="B56" s="60" t="str">
        <x:v>已识别风险</x:v>
      </x:c>
      <x:c r="C56" s="60" t="str">
        <x:v>已识别风险</x:v>
      </x:c>
      <x:c r="D56" s="60" t="str">
        <x:v>基准内已安排的响应工作</x:v>
      </x:c>
      <x:c r="E56" s="60" t="str">
        <x:v>基准内已安排的响应工作</x:v>
      </x:c>
      <x:c r="F56" s="60" t="str">
        <x:v>基准内已安排的响应工作</x:v>
      </x:c>
      <x:c r="G56" s="60" t="str">
        <x:v>基准内已安排的响应工作</x:v>
      </x:c>
      <x:c r="H56" s="60" t="str">
        <x:v>独立应急储备（元）</x:v>
      </x:c>
      <x:c r="I56" s="60" t="str">
        <x:v>独立应急储备（元）</x:v>
      </x:c>
      <x:c r="J56" s="60" t="str">
        <x:v>费用来源</x:v>
      </x:c>
      <x:c r="K56" s="60" t="str">
        <x:v>费用来源</x:v>
      </x:c>
      <x:c r="L56" s="60" t="str">
        <x:v>分配及变更规则</x:v>
      </x:c>
      <x:c r="M56" s="60" t="str">
        <x:v>分配及变更规则</x:v>
      </x:c>
      <x:c r="N56" s="60" t="str">
        <x:v>分配及变更规则</x:v>
      </x:c>
      <x:c r="O56" s="60" t="str">
        <x:v>分配及变更规则</x:v>
      </x:c>
      <x:c r="P56" s="60" t="str">
        <x:v>分配及变更规则</x:v>
      </x:c>
      <x:c r="Q56" s="60" t="str">
        <x:v>额度状态</x:v>
      </x:c>
      <x:c r="R56" s="60" t="str">
        <x:v>额度状态</x:v>
      </x:c>
      <x:c r="S56" s="60" t="str">
        <x:v>额度状态</x:v>
      </x:c>
    </x:row>
    <x:row r="57" ht="50" customHeight="1">
      <x:c r="A57" s="63" t="str">
        <x:v>RK01</x:v>
      </x:c>
      <x:c r="B57" s="63" t="str">
        <x:v>效率假设未达到</x:v>
      </x:c>
      <x:c r="C57" s="63" t="str">
        <x:v>效率假设未达到</x:v>
      </x:c>
      <x:c r="D57" s="63" t="str">
        <x:v>复核分工及既有可用容量</x:v>
      </x:c>
      <x:c r="E57" s="63" t="str">
        <x:v>复核分工及既有可用容量</x:v>
      </x:c>
      <x:c r="F57" s="63" t="str">
        <x:v>复核分工及既有可用容量</x:v>
      </x:c>
      <x:c r="G57" s="63" t="str">
        <x:v>复核分工及既有可用容量</x:v>
      </x:c>
      <x:c r="H57" s="70"/>
      <x:c r="I57" s="70"/>
      <x:c r="J57" s="63" t="str">
        <x:v>待评估</x:v>
      </x:c>
      <x:c r="K57" s="63" t="str">
        <x:v>待评估</x:v>
      </x:c>
      <x:c r="L57" s="63" t="str">
        <x:v>先量化风险响应费用；新增或重分类储备须办理CR。</x:v>
      </x:c>
      <x:c r="M57" s="63" t="str">
        <x:v>先量化风险响应费用；新增或重分类储备须办理CR。</x:v>
      </x:c>
      <x:c r="N57" s="63" t="str">
        <x:v>先量化风险响应费用；新增或重分类储备须办理CR。</x:v>
      </x:c>
      <x:c r="O57" s="63" t="str">
        <x:v>先量化风险响应费用；新增或重分类储备须办理CR。</x:v>
      </x:c>
      <x:c r="P57" s="63" t="str">
        <x:v>先量化风险响应费用；新增或重分类储备须办理CR。</x:v>
      </x:c>
      <x:c r="Q57" s="63" t="str">
        <x:v>未单列、金额待评估</x:v>
      </x:c>
      <x:c r="R57" s="63" t="str">
        <x:v>未单列、金额待评估</x:v>
      </x:c>
      <x:c r="S57" s="63" t="str">
        <x:v>未单列、金额待评估</x:v>
      </x:c>
    </x:row>
    <x:row r="58" ht="50" customHeight="1">
      <x:c r="A58" s="63" t="str">
        <x:v>RK02</x:v>
      </x:c>
      <x:c r="B58" s="63" t="str">
        <x:v>真实交换输入未具备</x:v>
      </x:c>
      <x:c r="C58" s="63" t="str">
        <x:v>真实交换输入未具备</x:v>
      </x:c>
      <x:c r="D58" s="63" t="str">
        <x:v>T2.4输入核对及交换适配／验证</x:v>
      </x:c>
      <x:c r="E58" s="63" t="str">
        <x:v>T2.4输入核对及交换适配／验证</x:v>
      </x:c>
      <x:c r="F58" s="63" t="str">
        <x:v>T2.4输入核对及交换适配／验证</x:v>
      </x:c>
      <x:c r="G58" s="63" t="str">
        <x:v>T2.4输入核对及交换适配／验证</x:v>
      </x:c>
      <x:c r="H58" s="70"/>
      <x:c r="I58" s="70"/>
      <x:c r="J58" s="63" t="str">
        <x:v>待评估</x:v>
      </x:c>
      <x:c r="K58" s="63" t="str">
        <x:v>待评估</x:v>
      </x:c>
      <x:c r="L58" s="63" t="str">
        <x:v>先量化风险响应费用；新增或重分类储备须办理CR。</x:v>
      </x:c>
      <x:c r="M58" s="63" t="str">
        <x:v>先量化风险响应费用；新增或重分类储备须办理CR。</x:v>
      </x:c>
      <x:c r="N58" s="63" t="str">
        <x:v>先量化风险响应费用；新增或重分类储备须办理CR。</x:v>
      </x:c>
      <x:c r="O58" s="63" t="str">
        <x:v>先量化风险响应费用；新增或重分类储备须办理CR。</x:v>
      </x:c>
      <x:c r="P58" s="63" t="str">
        <x:v>先量化风险响应费用；新增或重分类储备须办理CR。</x:v>
      </x:c>
      <x:c r="Q58" s="63" t="str">
        <x:v>未单列、金额待评估</x:v>
      </x:c>
      <x:c r="R58" s="63" t="str">
        <x:v>未单列、金额待评估</x:v>
      </x:c>
      <x:c r="S58" s="63" t="str">
        <x:v>未单列、金额待评估</x:v>
      </x:c>
    </x:row>
    <x:row r="59" ht="50" customHeight="1">
      <x:c r="A59" s="63" t="str">
        <x:v>RK03</x:v>
      </x:c>
      <x:c r="B59" s="63" t="str">
        <x:v>负载与部署资源不足</x:v>
      </x:c>
      <x:c r="C59" s="63" t="str">
        <x:v>负载与部署资源不足</x:v>
      </x:c>
      <x:c r="D59" s="63" t="str">
        <x:v>C06及既有性能、恢复验证工作</x:v>
      </x:c>
      <x:c r="E59" s="63" t="str">
        <x:v>C06及既有性能、恢复验证工作</x:v>
      </x:c>
      <x:c r="F59" s="63" t="str">
        <x:v>C06及既有性能、恢复验证工作</x:v>
      </x:c>
      <x:c r="G59" s="63" t="str">
        <x:v>C06及既有性能、恢复验证工作</x:v>
      </x:c>
      <x:c r="H59" s="70"/>
      <x:c r="I59" s="70"/>
      <x:c r="J59" s="63" t="str">
        <x:v>待评估</x:v>
      </x:c>
      <x:c r="K59" s="63" t="str">
        <x:v>待评估</x:v>
      </x:c>
      <x:c r="L59" s="63" t="str">
        <x:v>先量化风险响应费用；新增或重分类储备须办理CR。</x:v>
      </x:c>
      <x:c r="M59" s="63" t="str">
        <x:v>先量化风险响应费用；新增或重分类储备须办理CR。</x:v>
      </x:c>
      <x:c r="N59" s="63" t="str">
        <x:v>先量化风险响应费用；新增或重分类储备须办理CR。</x:v>
      </x:c>
      <x:c r="O59" s="63" t="str">
        <x:v>先量化风险响应费用；新增或重分类储备须办理CR。</x:v>
      </x:c>
      <x:c r="P59" s="63" t="str">
        <x:v>先量化风险响应费用；新增或重分类储备须办理CR。</x:v>
      </x:c>
      <x:c r="Q59" s="63" t="str">
        <x:v>未单列、金额待评估</x:v>
      </x:c>
      <x:c r="R59" s="63" t="str">
        <x:v>未单列、金额待评估</x:v>
      </x:c>
      <x:c r="S59" s="63" t="str">
        <x:v>未单列、金额待评估</x:v>
      </x:c>
    </x:row>
    <x:row r="60" ht="50" customHeight="1">
      <x:c r="A60" s="63" t="str">
        <x:v>RK04</x:v>
      </x:c>
      <x:c r="B60" s="63" t="str">
        <x:v>投入、费率或分摊变化</x:v>
      </x:c>
      <x:c r="C60" s="63" t="str">
        <x:v>投入、费率或分摊变化</x:v>
      </x:c>
      <x:c r="D60" s="63" t="str">
        <x:v>T2.5成本跟踪及逐周预算复核</x:v>
      </x:c>
      <x:c r="E60" s="63" t="str">
        <x:v>T2.5成本跟踪及逐周预算复核</x:v>
      </x:c>
      <x:c r="F60" s="63" t="str">
        <x:v>T2.5成本跟踪及逐周预算复核</x:v>
      </x:c>
      <x:c r="G60" s="63" t="str">
        <x:v>T2.5成本跟踪及逐周预算复核</x:v>
      </x:c>
      <x:c r="H60" s="70"/>
      <x:c r="I60" s="70"/>
      <x:c r="J60" s="63" t="str">
        <x:v>待评估</x:v>
      </x:c>
      <x:c r="K60" s="63" t="str">
        <x:v>待评估</x:v>
      </x:c>
      <x:c r="L60" s="63" t="str">
        <x:v>先量化风险响应费用；新增或重分类储备须办理CR。</x:v>
      </x:c>
      <x:c r="M60" s="63" t="str">
        <x:v>先量化风险响应费用；新增或重分类储备须办理CR。</x:v>
      </x:c>
      <x:c r="N60" s="63" t="str">
        <x:v>先量化风险响应费用；新增或重分类储备须办理CR。</x:v>
      </x:c>
      <x:c r="O60" s="63" t="str">
        <x:v>先量化风险响应费用；新增或重分类储备须办理CR。</x:v>
      </x:c>
      <x:c r="P60" s="63" t="str">
        <x:v>先量化风险响应费用；新增或重分类储备须办理CR。</x:v>
      </x:c>
      <x:c r="Q60" s="63" t="str">
        <x:v>未单列、金额待评估</x:v>
      </x:c>
      <x:c r="R60" s="63" t="str">
        <x:v>未单列、金额待评估</x:v>
      </x:c>
      <x:c r="S60" s="63" t="str">
        <x:v>未单列、金额待评估</x:v>
      </x:c>
    </x:row>
    <x:row r="61" ht="50" customHeight="1">
      <x:c r="A61" s="63" t="str">
        <x:v>RK05</x:v>
      </x:c>
      <x:c r="B61" s="63" t="str">
        <x:v>复用条件未达预期</x:v>
      </x:c>
      <x:c r="C61" s="63" t="str">
        <x:v>复用条件未达预期</x:v>
      </x:c>
      <x:c r="D61" s="63" t="str">
        <x:v>现有需求设计复核及组件核验</x:v>
      </x:c>
      <x:c r="E61" s="63" t="str">
        <x:v>现有需求设计复核及组件核验</x:v>
      </x:c>
      <x:c r="F61" s="63" t="str">
        <x:v>现有需求设计复核及组件核验</x:v>
      </x:c>
      <x:c r="G61" s="63" t="str">
        <x:v>现有需求设计复核及组件核验</x:v>
      </x:c>
      <x:c r="H61" s="70"/>
      <x:c r="I61" s="70"/>
      <x:c r="J61" s="63" t="str">
        <x:v>待评估</x:v>
      </x:c>
      <x:c r="K61" s="63" t="str">
        <x:v>待评估</x:v>
      </x:c>
      <x:c r="L61" s="63" t="str">
        <x:v>先量化风险响应费用；新增或重分类储备须办理CR。</x:v>
      </x:c>
      <x:c r="M61" s="63" t="str">
        <x:v>先量化风险响应费用；新增或重分类储备须办理CR。</x:v>
      </x:c>
      <x:c r="N61" s="63" t="str">
        <x:v>先量化风险响应费用；新增或重分类储备须办理CR。</x:v>
      </x:c>
      <x:c r="O61" s="63" t="str">
        <x:v>先量化风险响应费用；新增或重分类储备须办理CR。</x:v>
      </x:c>
      <x:c r="P61" s="63" t="str">
        <x:v>先量化风险响应费用；新增或重分类储备须办理CR。</x:v>
      </x:c>
      <x:c r="Q61" s="63" t="str">
        <x:v>未单列、金额待评估</x:v>
      </x:c>
      <x:c r="R61" s="63" t="str">
        <x:v>未单列、金额待评估</x:v>
      </x:c>
      <x:c r="S61" s="63" t="str">
        <x:v>未单列、金额待评估</x:v>
      </x:c>
    </x:row>
    <x:row r="63" ht="44" customHeight="1">
      <x:c r="A63" s="63" t="str">
        <x:v>应急储备针对已识别风险，正式量化及批准后计入成本基准；管理储备位于基准之外。若从现有总预算内部重分类，须重新核算两类储备和成本基准并登记CR；本版不预置分配比例。</x:v>
      </x:c>
      <x:c r="B63" s="63" t="str">
        <x:v>应急储备针对已识别风险，正式量化及批准后计入成本基准；管理储备位于基准之外。若从现有总预算内部重分类，须重新核算两类储备和成本基准并登记CR；本版不预置分配比例。</x:v>
      </x:c>
      <x:c r="C63" s="63" t="str">
        <x:v>应急储备针对已识别风险，正式量化及批准后计入成本基准；管理储备位于基准之外。若从现有总预算内部重分类，须重新核算两类储备和成本基准并登记CR；本版不预置分配比例。</x:v>
      </x:c>
      <x:c r="D63" s="63" t="str">
        <x:v>应急储备针对已识别风险，正式量化及批准后计入成本基准；管理储备位于基准之外。若从现有总预算内部重分类，须重新核算两类储备和成本基准并登记CR；本版不预置分配比例。</x:v>
      </x:c>
      <x:c r="E63" s="63" t="str">
        <x:v>应急储备针对已识别风险，正式量化及批准后计入成本基准；管理储备位于基准之外。若从现有总预算内部重分类，须重新核算两类储备和成本基准并登记CR；本版不预置分配比例。</x:v>
      </x:c>
      <x:c r="F63" s="63" t="str">
        <x:v>应急储备针对已识别风险，正式量化及批准后计入成本基准；管理储备位于基准之外。若从现有总预算内部重分类，须重新核算两类储备和成本基准并登记CR；本版不预置分配比例。</x:v>
      </x:c>
      <x:c r="G63" s="63" t="str">
        <x:v>应急储备针对已识别风险，正式量化及批准后计入成本基准；管理储备位于基准之外。若从现有总预算内部重分类，须重新核算两类储备和成本基准并登记CR；本版不预置分配比例。</x:v>
      </x:c>
      <x:c r="H63" s="63" t="str">
        <x:v>应急储备针对已识别风险，正式量化及批准后计入成本基准；管理储备位于基准之外。若从现有总预算内部重分类，须重新核算两类储备和成本基准并登记CR；本版不预置分配比例。</x:v>
      </x:c>
      <x:c r="I63" s="63" t="str">
        <x:v>应急储备针对已识别风险，正式量化及批准后计入成本基准；管理储备位于基准之外。若从现有总预算内部重分类，须重新核算两类储备和成本基准并登记CR；本版不预置分配比例。</x:v>
      </x:c>
      <x:c r="J63" s="63" t="str">
        <x:v>应急储备针对已识别风险，正式量化及批准后计入成本基准；管理储备位于基准之外。若从现有总预算内部重分类，须重新核算两类储备和成本基准并登记CR；本版不预置分配比例。</x:v>
      </x:c>
      <x:c r="K63" s="63" t="str">
        <x:v>应急储备针对已识别风险，正式量化及批准后计入成本基准；管理储备位于基准之外。若从现有总预算内部重分类，须重新核算两类储备和成本基准并登记CR；本版不预置分配比例。</x:v>
      </x:c>
      <x:c r="L63" s="63" t="str">
        <x:v>应急储备针对已识别风险，正式量化及批准后计入成本基准；管理储备位于基准之外。若从现有总预算内部重分类，须重新核算两类储备和成本基准并登记CR；本版不预置分配比例。</x:v>
      </x:c>
      <x:c r="M63" s="63" t="str">
        <x:v>应急储备针对已识别风险，正式量化及批准后计入成本基准；管理储备位于基准之外。若从现有总预算内部重分类，须重新核算两类储备和成本基准并登记CR；本版不预置分配比例。</x:v>
      </x:c>
      <x:c r="N63" s="63" t="str">
        <x:v>应急储备针对已识别风险，正式量化及批准后计入成本基准；管理储备位于基准之外。若从现有总预算内部重分类，须重新核算两类储备和成本基准并登记CR；本版不预置分配比例。</x:v>
      </x:c>
      <x:c r="O63" s="63" t="str">
        <x:v>应急储备针对已识别风险，正式量化及批准后计入成本基准；管理储备位于基准之外。若从现有总预算内部重分类，须重新核算两类储备和成本基准并登记CR；本版不预置分配比例。</x:v>
      </x:c>
      <x:c r="P63" s="63" t="str">
        <x:v>应急储备针对已识别风险，正式量化及批准后计入成本基准；管理储备位于基准之外。若从现有总预算内部重分类，须重新核算两类储备和成本基准并登记CR；本版不预置分配比例。</x:v>
      </x:c>
      <x:c r="Q63" s="63" t="str">
        <x:v>应急储备针对已识别风险，正式量化及批准后计入成本基准；管理储备位于基准之外。若从现有总预算内部重分类，须重新核算两类储备和成本基准并登记CR；本版不预置分配比例。</x:v>
      </x:c>
      <x:c r="R63" s="63" t="str">
        <x:v>应急储备针对已识别风险，正式量化及批准后计入成本基准；管理储备位于基准之外。若从现有总预算内部重分类，须重新核算两类储备和成本基准并登记CR；本版不预置分配比例。</x:v>
      </x:c>
      <x:c r="S63" s="63" t="str">
        <x:v>应急储备针对已识别风险，正式量化及批准后计入成本基准；管理储备位于基准之外。若从现有总预算内部重分类，须重新核算两类储备和成本基准并登记CR；本版不预置分配比例。</x:v>
      </x:c>
    </x:row>
    <x:row r="64" ht="40" customHeight="1">
      <x:c r="A64" s="63" t="str">
        <x:v>本版保留原成本基准106,852.50元、管理储备10,685.25元及总预算117,537.75元。风险独立应急储备未落实属于待处理计划条件，不表示现有管理储备已承诺覆盖全部风险。</x:v>
      </x:c>
      <x:c r="B64" s="63" t="str">
        <x:v>本版保留原成本基准106,852.50元、管理储备10,685.25元及总预算117,537.75元。风险独立应急储备未落实属于待处理计划条件，不表示现有管理储备已承诺覆盖全部风险。</x:v>
      </x:c>
      <x:c r="C64" s="63" t="str">
        <x:v>本版保留原成本基准106,852.50元、管理储备10,685.25元及总预算117,537.75元。风险独立应急储备未落实属于待处理计划条件，不表示现有管理储备已承诺覆盖全部风险。</x:v>
      </x:c>
      <x:c r="D64" s="63" t="str">
        <x:v>本版保留原成本基准106,852.50元、管理储备10,685.25元及总预算117,537.75元。风险独立应急储备未落实属于待处理计划条件，不表示现有管理储备已承诺覆盖全部风险。</x:v>
      </x:c>
      <x:c r="E64" s="63" t="str">
        <x:v>本版保留原成本基准106,852.50元、管理储备10,685.25元及总预算117,537.75元。风险独立应急储备未落实属于待处理计划条件，不表示现有管理储备已承诺覆盖全部风险。</x:v>
      </x:c>
      <x:c r="F64" s="63" t="str">
        <x:v>本版保留原成本基准106,852.50元、管理储备10,685.25元及总预算117,537.75元。风险独立应急储备未落实属于待处理计划条件，不表示现有管理储备已承诺覆盖全部风险。</x:v>
      </x:c>
      <x:c r="G64" s="63" t="str">
        <x:v>本版保留原成本基准106,852.50元、管理储备10,685.25元及总预算117,537.75元。风险独立应急储备未落实属于待处理计划条件，不表示现有管理储备已承诺覆盖全部风险。</x:v>
      </x:c>
      <x:c r="H64" s="63" t="str">
        <x:v>本版保留原成本基准106,852.50元、管理储备10,685.25元及总预算117,537.75元。风险独立应急储备未落实属于待处理计划条件，不表示现有管理储备已承诺覆盖全部风险。</x:v>
      </x:c>
      <x:c r="I64" s="63" t="str">
        <x:v>本版保留原成本基准106,852.50元、管理储备10,685.25元及总预算117,537.75元。风险独立应急储备未落实属于待处理计划条件，不表示现有管理储备已承诺覆盖全部风险。</x:v>
      </x:c>
      <x:c r="J64" s="63" t="str">
        <x:v>本版保留原成本基准106,852.50元、管理储备10,685.25元及总预算117,537.75元。风险独立应急储备未落实属于待处理计划条件，不表示现有管理储备已承诺覆盖全部风险。</x:v>
      </x:c>
      <x:c r="K64" s="63" t="str">
        <x:v>本版保留原成本基准106,852.50元、管理储备10,685.25元及总预算117,537.75元。风险独立应急储备未落实属于待处理计划条件，不表示现有管理储备已承诺覆盖全部风险。</x:v>
      </x:c>
      <x:c r="L64" s="63" t="str">
        <x:v>本版保留原成本基准106,852.50元、管理储备10,685.25元及总预算117,537.75元。风险独立应急储备未落实属于待处理计划条件，不表示现有管理储备已承诺覆盖全部风险。</x:v>
      </x:c>
      <x:c r="M64" s="63" t="str">
        <x:v>本版保留原成本基准106,852.50元、管理储备10,685.25元及总预算117,537.75元。风险独立应急储备未落实属于待处理计划条件，不表示现有管理储备已承诺覆盖全部风险。</x:v>
      </x:c>
      <x:c r="N64" s="63" t="str">
        <x:v>本版保留原成本基准106,852.50元、管理储备10,685.25元及总预算117,537.75元。风险独立应急储备未落实属于待处理计划条件，不表示现有管理储备已承诺覆盖全部风险。</x:v>
      </x:c>
      <x:c r="O64" s="63" t="str">
        <x:v>本版保留原成本基准106,852.50元、管理储备10,685.25元及总预算117,537.75元。风险独立应急储备未落实属于待处理计划条件，不表示现有管理储备已承诺覆盖全部风险。</x:v>
      </x:c>
      <x:c r="P64" s="63" t="str">
        <x:v>本版保留原成本基准106,852.50元、管理储备10,685.25元及总预算117,537.75元。风险独立应急储备未落实属于待处理计划条件，不表示现有管理储备已承诺覆盖全部风险。</x:v>
      </x:c>
      <x:c r="Q64" s="63" t="str">
        <x:v>本版保留原成本基准106,852.50元、管理储备10,685.25元及总预算117,537.75元。风险独立应急储备未落实属于待处理计划条件，不表示现有管理储备已承诺覆盖全部风险。</x:v>
      </x:c>
      <x:c r="R64" s="63" t="str">
        <x:v>本版保留原成本基准106,852.50元、管理储备10,685.25元及总预算117,537.75元。风险独立应急储备未落实属于待处理计划条件，不表示现有管理储备已承诺覆盖全部风险。</x:v>
      </x:c>
      <x:c r="S64" s="63" t="str">
        <x:v>本版保留原成本基准106,852.50元、管理储备10,685.25元及总预算117,537.75元。风险独立应急储备未落实属于待处理计划条件，不表示现有管理储备已承诺覆盖全部风险。</x:v>
      </x:c>
    </x:row>
    <x:row r="67" ht="28" customHeight="1">
      <x:c r="A67" s="86" t="str">
        <x:v>质量成本分类与记录（沿用原预算）</x:v>
      </x:c>
      <x:c r="B67" s="86" t="str">
        <x:v>质量成本分类与记录（沿用原预算）</x:v>
      </x:c>
      <x:c r="C67" s="86" t="str">
        <x:v>质量成本分类与记录（沿用原预算）</x:v>
      </x:c>
      <x:c r="D67" s="86" t="str">
        <x:v>质量成本分类与记录（沿用原预算）</x:v>
      </x:c>
      <x:c r="E67" s="86" t="str">
        <x:v>质量成本分类与记录（沿用原预算）</x:v>
      </x:c>
      <x:c r="F67" s="86" t="str">
        <x:v>质量成本分类与记录（沿用原预算）</x:v>
      </x:c>
      <x:c r="G67" s="86" t="str">
        <x:v>质量成本分类与记录（沿用原预算）</x:v>
      </x:c>
      <x:c r="H67" s="86" t="str">
        <x:v>质量成本分类与记录（沿用原预算）</x:v>
      </x:c>
      <x:c r="I67" s="86" t="str">
        <x:v>质量成本分类与记录（沿用原预算）</x:v>
      </x:c>
      <x:c r="J67" s="86" t="str">
        <x:v>质量成本分类与记录（沿用原预算）</x:v>
      </x:c>
      <x:c r="K67" s="86" t="str">
        <x:v>质量成本分类与记录（沿用原预算）</x:v>
      </x:c>
      <x:c r="L67" s="86" t="str">
        <x:v>质量成本分类与记录（沿用原预算）</x:v>
      </x:c>
      <x:c r="M67" s="86" t="str">
        <x:v>质量成本分类与记录（沿用原预算）</x:v>
      </x:c>
      <x:c r="N67" s="86" t="str">
        <x:v>质量成本分类与记录（沿用原预算）</x:v>
      </x:c>
      <x:c r="O67" s="86" t="str">
        <x:v>质量成本分类与记录（沿用原预算）</x:v>
      </x:c>
      <x:c r="P67" s="86" t="str">
        <x:v>质量成本分类与记录（沿用原预算）</x:v>
      </x:c>
      <x:c r="Q67" s="86" t="str">
        <x:v>质量成本分类与记录（沿用原预算）</x:v>
      </x:c>
      <x:c r="R67" s="86" t="str">
        <x:v>质量成本分类与记录（沿用原预算）</x:v>
      </x:c>
      <x:c r="S67" s="86" t="str">
        <x:v>质量成本分类与记录（沿用原预算）</x:v>
      </x:c>
    </x:row>
    <x:row r="68" ht="40" customHeight="1">
      <x:c r="A68" s="79" t="str">
        <x:v>质量成本是既有费用的用途分类，不是新增预算。混合活动尚未拆分纯质量费用；同一人时和资源费用只计一次，实际发生额未知时留空。</x:v>
      </x:c>
      <x:c r="B68" s="79" t="str">
        <x:v>质量成本是既有费用的用途分类，不是新增预算。混合活动尚未拆分纯质量费用；同一人时和资源费用只计一次，实际发生额未知时留空。</x:v>
      </x:c>
      <x:c r="C68" s="79" t="str">
        <x:v>质量成本是既有费用的用途分类，不是新增预算。混合活动尚未拆分纯质量费用；同一人时和资源费用只计一次，实际发生额未知时留空。</x:v>
      </x:c>
      <x:c r="D68" s="79" t="str">
        <x:v>质量成本是既有费用的用途分类，不是新增预算。混合活动尚未拆分纯质量费用；同一人时和资源费用只计一次，实际发生额未知时留空。</x:v>
      </x:c>
      <x:c r="E68" s="79" t="str">
        <x:v>质量成本是既有费用的用途分类，不是新增预算。混合活动尚未拆分纯质量费用；同一人时和资源费用只计一次，实际发生额未知时留空。</x:v>
      </x:c>
      <x:c r="F68" s="79" t="str">
        <x:v>质量成本是既有费用的用途分类，不是新增预算。混合活动尚未拆分纯质量费用；同一人时和资源费用只计一次，实际发生额未知时留空。</x:v>
      </x:c>
      <x:c r="G68" s="79" t="str">
        <x:v>质量成本是既有费用的用途分类，不是新增预算。混合活动尚未拆分纯质量费用；同一人时和资源费用只计一次，实际发生额未知时留空。</x:v>
      </x:c>
      <x:c r="H68" s="79" t="str">
        <x:v>质量成本是既有费用的用途分类，不是新增预算。混合活动尚未拆分纯质量费用；同一人时和资源费用只计一次，实际发生额未知时留空。</x:v>
      </x:c>
      <x:c r="I68" s="79" t="str">
        <x:v>质量成本是既有费用的用途分类，不是新增预算。混合活动尚未拆分纯质量费用；同一人时和资源费用只计一次，实际发生额未知时留空。</x:v>
      </x:c>
      <x:c r="J68" s="79" t="str">
        <x:v>质量成本是既有费用的用途分类，不是新增预算。混合活动尚未拆分纯质量费用；同一人时和资源费用只计一次，实际发生额未知时留空。</x:v>
      </x:c>
      <x:c r="K68" s="79" t="str">
        <x:v>质量成本是既有费用的用途分类，不是新增预算。混合活动尚未拆分纯质量费用；同一人时和资源费用只计一次，实际发生额未知时留空。</x:v>
      </x:c>
      <x:c r="L68" s="79" t="str">
        <x:v>质量成本是既有费用的用途分类，不是新增预算。混合活动尚未拆分纯质量费用；同一人时和资源费用只计一次，实际发生额未知时留空。</x:v>
      </x:c>
      <x:c r="M68" s="79" t="str">
        <x:v>质量成本是既有费用的用途分类，不是新增预算。混合活动尚未拆分纯质量费用；同一人时和资源费用只计一次，实际发生额未知时留空。</x:v>
      </x:c>
      <x:c r="N68" s="79" t="str">
        <x:v>质量成本是既有费用的用途分类，不是新增预算。混合活动尚未拆分纯质量费用；同一人时和资源费用只计一次，实际发生额未知时留空。</x:v>
      </x:c>
      <x:c r="O68" s="79" t="str">
        <x:v>质量成本是既有费用的用途分类，不是新增预算。混合活动尚未拆分纯质量费用；同一人时和资源费用只计一次，实际发生额未知时留空。</x:v>
      </x:c>
      <x:c r="P68" s="79" t="str">
        <x:v>质量成本是既有费用的用途分类，不是新增预算。混合活动尚未拆分纯质量费用；同一人时和资源费用只计一次，实际发生额未知时留空。</x:v>
      </x:c>
      <x:c r="Q68" s="79" t="str">
        <x:v>质量成本是既有费用的用途分类，不是新增预算。混合活动尚未拆分纯质量费用；同一人时和资源费用只计一次，实际发生额未知时留空。</x:v>
      </x:c>
      <x:c r="R68" s="79" t="str">
        <x:v>质量成本是既有费用的用途分类，不是新增预算。混合活动尚未拆分纯质量费用；同一人时和资源费用只计一次，实际发生额未知时留空。</x:v>
      </x:c>
      <x:c r="S68" s="79" t="str">
        <x:v>质量成本是既有费用的用途分类，不是新增预算。混合活动尚未拆分纯质量费用；同一人时和资源费用只计一次，实际发生额未知时留空。</x:v>
      </x:c>
    </x:row>
    <x:row r="70" ht="46" customHeight="1">
      <x:c r="A70" s="86" t="str">
        <x:v>类别</x:v>
      </x:c>
      <x:c r="B70" s="86" t="str">
        <x:v>类别</x:v>
      </x:c>
      <x:c r="C70" s="86" t="str">
        <x:v>活动或发生条件</x:v>
      </x:c>
      <x:c r="D70" s="86" t="str">
        <x:v>活动或发生条件</x:v>
      </x:c>
      <x:c r="E70" s="86" t="str">
        <x:v>活动或发生条件</x:v>
      </x:c>
      <x:c r="F70" s="86" t="str">
        <x:v>活动或发生条件</x:v>
      </x:c>
      <x:c r="G70" s="86" t="str">
        <x:v>对应任务</x:v>
      </x:c>
      <x:c r="H70" s="86" t="str">
        <x:v>对应任务</x:v>
      </x:c>
      <x:c r="I70" s="86" t="str">
        <x:v>对应任务</x:v>
      </x:c>
      <x:c r="J70" s="86" t="str">
        <x:v>原预算归属</x:v>
      </x:c>
      <x:c r="K70" s="86" t="str">
        <x:v>原预算归属</x:v>
      </x:c>
      <x:c r="L70" s="86" t="str">
        <x:v>原预算归属</x:v>
      </x:c>
      <x:c r="M70" s="86" t="str">
        <x:v>原预算归属</x:v>
      </x:c>
      <x:c r="N70" s="86" t="str">
        <x:v>实际金额（元）</x:v>
      </x:c>
      <x:c r="O70" s="86" t="str">
        <x:v>实际金额（元）</x:v>
      </x:c>
      <x:c r="P70" s="86" t="str">
        <x:v>记录与控制</x:v>
      </x:c>
      <x:c r="Q70" s="86" t="str">
        <x:v>记录与控制</x:v>
      </x:c>
      <x:c r="R70" s="86" t="str">
        <x:v>记录与控制</x:v>
      </x:c>
      <x:c r="S70" s="86" t="str">
        <x:v>记录与控制</x:v>
      </x:c>
    </x:row>
    <x:row r="71" ht="86" customHeight="1">
      <x:c r="A71" s="79" t="str">
        <x:v>预防</x:v>
      </x:c>
      <x:c r="B71" s="79" t="str">
        <x:v>预防</x:v>
      </x:c>
      <x:c r="C71" s="79" t="str">
        <x:v>需求/设计复核、测试设计、规范交底及开发过程中的预防措施</x:v>
      </x:c>
      <x:c r="D71" s="79" t="str">
        <x:v>需求/设计复核、测试设计、规范交底及开发过程中的预防措施</x:v>
      </x:c>
      <x:c r="E71" s="79" t="str">
        <x:v>需求/设计复核、测试设计、规范交底及开发过程中的预防措施</x:v>
      </x:c>
      <x:c r="F71" s="79" t="str">
        <x:v>需求/设计复核、测试设计、规范交底及开发过程中的预防措施</x:v>
      </x:c>
      <x:c r="G71" s="79" t="str">
        <x:v>T1.1/T1.3/T2/T3及原评审</x:v>
      </x:c>
      <x:c r="H71" s="79" t="str">
        <x:v>T1.1/T1.3/T2/T3及原评审</x:v>
      </x:c>
      <x:c r="I71" s="79" t="str">
        <x:v>T1.1/T1.3/T2/T3及原评审</x:v>
      </x:c>
      <x:c r="J71" s="79" t="str">
        <x:v>原任务人工与C06–C09等；混合任务未作纯质量费用分摊。</x:v>
      </x:c>
      <x:c r="K71" s="79" t="str">
        <x:v>原任务人工与C06–C09等；混合任务未作纯质量费用分摊。</x:v>
      </x:c>
      <x:c r="L71" s="79" t="str">
        <x:v>原任务人工与C06–C09等；混合任务未作纯质量费用分摊。</x:v>
      </x:c>
      <x:c r="M71" s="79" t="str">
        <x:v>原任务人工与C06–C09等；混合任务未作纯质量费用分摊。</x:v>
      </x:c>
      <x:c r="N71" s="91"/>
      <x:c r="O71" s="91"/>
      <x:c r="P71" s="79" t="str">
        <x:v>沿用既有预算；不将整项设计或开发成本全部另算为质量成本。</x:v>
      </x:c>
      <x:c r="Q71" s="79" t="str">
        <x:v>沿用既有预算；不将整项设计或开发成本全部另算为质量成本。</x:v>
      </x:c>
      <x:c r="R71" s="79" t="str">
        <x:v>沿用既有预算；不将整项设计或开发成本全部另算为质量成本。</x:v>
      </x:c>
      <x:c r="S71" s="79" t="str">
        <x:v>沿用既有预算；不将整项设计或开发成本全部另算为质量成本。</x:v>
      </x:c>
    </x:row>
    <x:row r="72" ht="86" customHeight="1">
      <x:c r="A72" s="79" t="str">
        <x:v>评估</x:v>
      </x:c>
      <x:c r="B72" s="79" t="str">
        <x:v>评估</x:v>
      </x:c>
      <x:c r="C72" s="79" t="str">
        <x:v>技术评审、功能/性能/安全/恢复/兼容检查和最终验收</x:v>
      </x:c>
      <x:c r="D72" s="79" t="str">
        <x:v>技术评审、功能/性能/安全/恢复/兼容检查和最终验收</x:v>
      </x:c>
      <x:c r="E72" s="79" t="str">
        <x:v>技术评审、功能/性能/安全/恢复/兼容检查和最终验收</x:v>
      </x:c>
      <x:c r="F72" s="79" t="str">
        <x:v>技术评审、功能/性能/安全/恢复/兼容检查和最终验收</x:v>
      </x:c>
      <x:c r="G72" s="79" t="str">
        <x:v>T4.1/T4.3–T4.9/T5.6</x:v>
      </x:c>
      <x:c r="H72" s="79" t="str">
        <x:v>T4.1/T4.3–T4.9/T5.6</x:v>
      </x:c>
      <x:c r="I72" s="79" t="str">
        <x:v>T4.1/T4.3–T4.9/T5.6</x:v>
      </x:c>
      <x:c r="J72" s="79" t="str">
        <x:v>原任务人工及开发/测试部署资源。</x:v>
      </x:c>
      <x:c r="K72" s="79" t="str">
        <x:v>原任务人工及开发/测试部署资源。</x:v>
      </x:c>
      <x:c r="L72" s="79" t="str">
        <x:v>原任务人工及开发/测试部署资源。</x:v>
      </x:c>
      <x:c r="M72" s="79" t="str">
        <x:v>原任务人工及开发/测试部署资源。</x:v>
      </x:c>
      <x:c r="N72" s="91"/>
      <x:c r="O72" s="91"/>
      <x:c r="P72" s="79" t="str">
        <x:v>检验和测试发现缺陷；修复及再次验证另按具体事项归类。</x:v>
      </x:c>
      <x:c r="Q72" s="79" t="str">
        <x:v>检验和测试发现缺陷；修复及再次验证另按具体事项归类。</x:v>
      </x:c>
      <x:c r="R72" s="79" t="str">
        <x:v>检验和测试发现缺陷；修复及再次验证另按具体事项归类。</x:v>
      </x:c>
      <x:c r="S72" s="79" t="str">
        <x:v>检验和测试发现缺陷；修复及再次验证另按具体事项归类。</x:v>
      </x:c>
    </x:row>
    <x:row r="73" ht="86" customHeight="1">
      <x:c r="A73" s="79" t="str">
        <x:v>内部缺陷</x:v>
      </x:c>
      <x:c r="B73" s="79" t="str">
        <x:v>内部缺陷</x:v>
      </x:c>
      <x:c r="C73" s="79" t="str">
        <x:v>正式交付前的缺陷定位、修复和相关回归</x:v>
      </x:c>
      <x:c r="D73" s="79" t="str">
        <x:v>正式交付前的缺陷定位、修复和相关回归</x:v>
      </x:c>
      <x:c r="E73" s="79" t="str">
        <x:v>正式交付前的缺陷定位、修复和相关回归</x:v>
      </x:c>
      <x:c r="F73" s="79" t="str">
        <x:v>正式交付前的缺陷定位、修复和相关回归</x:v>
      </x:c>
      <x:c r="G73" s="79" t="str">
        <x:v>T4.10及原开发/试运行活动</x:v>
      </x:c>
      <x:c r="H73" s="79" t="str">
        <x:v>T4.10及原开发/试运行活动</x:v>
      </x:c>
      <x:c r="I73" s="79" t="str">
        <x:v>T4.10及原开发/试运行活动</x:v>
      </x:c>
      <x:c r="J73" s="79" t="str">
        <x:v>T4.10已含56人时修复与回归；原任务费用不重复加算。</x:v>
      </x:c>
      <x:c r="K73" s="79" t="str">
        <x:v>T4.10已含56人时修复与回归；原任务费用不重复加算。</x:v>
      </x:c>
      <x:c r="L73" s="79" t="str">
        <x:v>T4.10已含56人时修复与回归；原任务费用不重复加算。</x:v>
      </x:c>
      <x:c r="M73" s="79" t="str">
        <x:v>T4.10已含56人时修复与回归；原任务费用不重复加算。</x:v>
      </x:c>
      <x:c r="N73" s="91"/>
      <x:c r="O73" s="91"/>
      <x:c r="P73" s="79" t="str">
        <x:v>实际发生时区分修复与评估，记录缺陷号、投入及凭证；未知值留空。</x:v>
      </x:c>
      <x:c r="Q73" s="79" t="str">
        <x:v>实际发生时区分修复与评估，记录缺陷号、投入及凭证；未知值留空。</x:v>
      </x:c>
      <x:c r="R73" s="79" t="str">
        <x:v>实际发生时区分修复与评估，记录缺陷号、投入及凭证；未知值留空。</x:v>
      </x:c>
      <x:c r="S73" s="79" t="str">
        <x:v>实际发生时区分修复与评估，记录缺陷号、投入及凭证；未知值留空。</x:v>
      </x:c>
    </x:row>
    <x:row r="74" ht="86" customHeight="1">
      <x:c r="A74" s="79" t="str">
        <x:v>外部缺陷</x:v>
      </x:c>
      <x:c r="B74" s="79" t="str">
        <x:v>外部缺陷</x:v>
      </x:c>
      <x:c r="C74" s="79" t="str">
        <x:v>正式交付后的返修、支持及其他缺陷影响</x:v>
      </x:c>
      <x:c r="D74" s="79" t="str">
        <x:v>正式交付后的返修、支持及其他缺陷影响</x:v>
      </x:c>
      <x:c r="E74" s="79" t="str">
        <x:v>正式交付后的返修、支持及其他缺陷影响</x:v>
      </x:c>
      <x:c r="F74" s="79" t="str">
        <x:v>正式交付后的返修、支持及其他缺陷影响</x:v>
      </x:c>
      <x:c r="G74" s="79" t="str">
        <x:v>本版未设独立交付后维护活动</x:v>
      </x:c>
      <x:c r="H74" s="79" t="str">
        <x:v>本版未设独立交付后维护活动</x:v>
      </x:c>
      <x:c r="I74" s="79" t="str">
        <x:v>本版未设独立交付后维护活动</x:v>
      </x:c>
      <x:c r="J74" s="79" t="str">
        <x:v>独立金额及实际支出留空；不承诺由C14覆盖。</x:v>
      </x:c>
      <x:c r="K74" s="79" t="str">
        <x:v>独立金额及实际支出留空；不承诺由C14覆盖。</x:v>
      </x:c>
      <x:c r="L74" s="79" t="str">
        <x:v>独立金额及实际支出留空；不承诺由C14覆盖。</x:v>
      </x:c>
      <x:c r="M74" s="79" t="str">
        <x:v>独立金额及实际支出留空；不承诺由C14覆盖。</x:v>
      </x:c>
      <x:c r="N74" s="91"/>
      <x:c r="O74" s="91"/>
      <x:c r="P74" s="79" t="str">
        <x:v>发生后核实范围、工时、费用及风险；超出基线时办理CR。</x:v>
      </x:c>
      <x:c r="Q74" s="79" t="str">
        <x:v>发生后核实范围、工时、费用及风险；超出基线时办理CR。</x:v>
      </x:c>
      <x:c r="R74" s="79" t="str">
        <x:v>发生后核实范围、工时、费用及风险；超出基线时办理CR。</x:v>
      </x:c>
      <x:c r="S74" s="79" t="str">
        <x:v>发生后核实范围、工时、费用及风险；超出基线时办理CR。</x:v>
      </x:c>
    </x:row>
    <x:row r="76" ht="40" customHeight="1">
      <x:c r="A76" s="79" t="str">
        <x:v>预防及评估尽早开展，缺陷修复后需复测。质量不符合时先分析根因与剩余工作，保留原验收门槛；需要改变进度、工作量、费用或受控标准时提出CR并同步两种计划。</x:v>
      </x:c>
      <x:c r="B76" s="79" t="str">
        <x:v>预防及评估尽早开展，缺陷修复后需复测。质量不符合时先分析根因与剩余工作，保留原验收门槛；需要改变进度、工作量、费用或受控标准时提出CR并同步两种计划。</x:v>
      </x:c>
      <x:c r="C76" s="79" t="str">
        <x:v>预防及评估尽早开展，缺陷修复后需复测。质量不符合时先分析根因与剩余工作，保留原验收门槛；需要改变进度、工作量、费用或受控标准时提出CR并同步两种计划。</x:v>
      </x:c>
      <x:c r="D76" s="79" t="str">
        <x:v>预防及评估尽早开展，缺陷修复后需复测。质量不符合时先分析根因与剩余工作，保留原验收门槛；需要改变进度、工作量、费用或受控标准时提出CR并同步两种计划。</x:v>
      </x:c>
      <x:c r="E76" s="79" t="str">
        <x:v>预防及评估尽早开展，缺陷修复后需复测。质量不符合时先分析根因与剩余工作，保留原验收门槛；需要改变进度、工作量、费用或受控标准时提出CR并同步两种计划。</x:v>
      </x:c>
      <x:c r="F76" s="79" t="str">
        <x:v>预防及评估尽早开展，缺陷修复后需复测。质量不符合时先分析根因与剩余工作，保留原验收门槛；需要改变进度、工作量、费用或受控标准时提出CR并同步两种计划。</x:v>
      </x:c>
      <x:c r="G76" s="79" t="str">
        <x:v>预防及评估尽早开展，缺陷修复后需复测。质量不符合时先分析根因与剩余工作，保留原验收门槛；需要改变进度、工作量、费用或受控标准时提出CR并同步两种计划。</x:v>
      </x:c>
      <x:c r="H76" s="79" t="str">
        <x:v>预防及评估尽早开展，缺陷修复后需复测。质量不符合时先分析根因与剩余工作，保留原验收门槛；需要改变进度、工作量、费用或受控标准时提出CR并同步两种计划。</x:v>
      </x:c>
      <x:c r="I76" s="79" t="str">
        <x:v>预防及评估尽早开展，缺陷修复后需复测。质量不符合时先分析根因与剩余工作，保留原验收门槛；需要改变进度、工作量、费用或受控标准时提出CR并同步两种计划。</x:v>
      </x:c>
      <x:c r="J76" s="79" t="str">
        <x:v>预防及评估尽早开展，缺陷修复后需复测。质量不符合时先分析根因与剩余工作，保留原验收门槛；需要改变进度、工作量、费用或受控标准时提出CR并同步两种计划。</x:v>
      </x:c>
      <x:c r="K76" s="79" t="str">
        <x:v>预防及评估尽早开展，缺陷修复后需复测。质量不符合时先分析根因与剩余工作，保留原验收门槛；需要改变进度、工作量、费用或受控标准时提出CR并同步两种计划。</x:v>
      </x:c>
      <x:c r="L76" s="79" t="str">
        <x:v>预防及评估尽早开展，缺陷修复后需复测。质量不符合时先分析根因与剩余工作，保留原验收门槛；需要改变进度、工作量、费用或受控标准时提出CR并同步两种计划。</x:v>
      </x:c>
      <x:c r="M76" s="79" t="str">
        <x:v>预防及评估尽早开展，缺陷修复后需复测。质量不符合时先分析根因与剩余工作，保留原验收门槛；需要改变进度、工作量、费用或受控标准时提出CR并同步两种计划。</x:v>
      </x:c>
      <x:c r="N76" s="79" t="str">
        <x:v>预防及评估尽早开展，缺陷修复后需复测。质量不符合时先分析根因与剩余工作，保留原验收门槛；需要改变进度、工作量、费用或受控标准时提出CR并同步两种计划。</x:v>
      </x:c>
      <x:c r="O76" s="79" t="str">
        <x:v>预防及评估尽早开展，缺陷修复后需复测。质量不符合时先分析根因与剩余工作，保留原验收门槛；需要改变进度、工作量、费用或受控标准时提出CR并同步两种计划。</x:v>
      </x:c>
      <x:c r="P76" s="79" t="str">
        <x:v>预防及评估尽早开展，缺陷修复后需复测。质量不符合时先分析根因与剩余工作，保留原验收门槛；需要改变进度、工作量、费用或受控标准时提出CR并同步两种计划。</x:v>
      </x:c>
      <x:c r="Q76" s="79" t="str">
        <x:v>预防及评估尽早开展，缺陷修复后需复测。质量不符合时先分析根因与剩余工作，保留原验收门槛；需要改变进度、工作量、费用或受控标准时提出CR并同步两种计划。</x:v>
      </x:c>
      <x:c r="R76" s="79" t="str">
        <x:v>预防及评估尽早开展，缺陷修复后需复测。质量不符合时先分析根因与剩余工作，保留原验收门槛；需要改变进度、工作量、费用或受控标准时提出CR并同步两种计划。</x:v>
      </x:c>
      <x:c r="S76" s="79" t="str">
        <x:v>预防及评估尽早开展，缺陷修复后需复测。质量不符合时先分析根因与剩余工作，保留原验收门槛；需要改变进度、工作量、费用或受控标准时提出CR并同步两种计划。</x:v>
      </x:c>
    </x:row>
  </x:sheetData>
  <x:mergeCells>
    <x:mergeCell ref="A35:S35"/>
    <x:mergeCell ref="A36:S36"/>
    <x:mergeCell ref="D38:E38"/>
    <x:mergeCell ref="F38:G38"/>
    <x:mergeCell ref="H38:I38"/>
    <x:mergeCell ref="J38:K38"/>
    <x:mergeCell ref="L38:M38"/>
    <x:mergeCell ref="N38:O38"/>
    <x:mergeCell ref="P38:Q38"/>
    <x:mergeCell ref="R38:S38"/>
    <x:mergeCell ref="D39:E39"/>
    <x:mergeCell ref="F39:G39"/>
    <x:mergeCell ref="H39:I39"/>
    <x:mergeCell ref="J39:K39"/>
    <x:mergeCell ref="L39:M39"/>
    <x:mergeCell ref="N39:O39"/>
    <x:mergeCell ref="P39:Q39"/>
    <x:mergeCell ref="R39:S39"/>
    <x:mergeCell ref="D40:E40"/>
    <x:mergeCell ref="F40:G40"/>
    <x:mergeCell ref="H40:I40"/>
    <x:mergeCell ref="J40:K40"/>
    <x:mergeCell ref="L40:M40"/>
    <x:mergeCell ref="N40:O40"/>
    <x:mergeCell ref="P40:Q40"/>
    <x:mergeCell ref="R40:S40"/>
    <x:mergeCell ref="D41:E41"/>
    <x:mergeCell ref="F41:G41"/>
    <x:mergeCell ref="H41:I41"/>
    <x:mergeCell ref="J41:K41"/>
    <x:mergeCell ref="L41:M41"/>
    <x:mergeCell ref="N41:O41"/>
    <x:mergeCell ref="P41:Q41"/>
    <x:mergeCell ref="R41:S41"/>
    <x:mergeCell ref="D42:E42"/>
    <x:mergeCell ref="F42:G42"/>
    <x:mergeCell ref="H42:I42"/>
    <x:mergeCell ref="J42:K42"/>
    <x:mergeCell ref="L42:M42"/>
    <x:mergeCell ref="N42:O42"/>
    <x:mergeCell ref="P42:Q42"/>
    <x:mergeCell ref="R42:S42"/>
    <x:mergeCell ref="D43:E43"/>
    <x:mergeCell ref="F43:G43"/>
    <x:mergeCell ref="H43:I43"/>
    <x:mergeCell ref="J43:K43"/>
    <x:mergeCell ref="L43:M43"/>
    <x:mergeCell ref="N43:O43"/>
    <x:mergeCell ref="P43:Q43"/>
    <x:mergeCell ref="R43:S43"/>
    <x:mergeCell ref="D44:E44"/>
    <x:mergeCell ref="F44:G44"/>
    <x:mergeCell ref="H44:I44"/>
    <x:mergeCell ref="J44:K44"/>
    <x:mergeCell ref="L44:M44"/>
    <x:mergeCell ref="N44:O44"/>
    <x:mergeCell ref="P44:Q44"/>
    <x:mergeCell ref="R44:S44"/>
    <x:mergeCell ref="D45:E45"/>
    <x:mergeCell ref="F45:G45"/>
    <x:mergeCell ref="H45:I45"/>
    <x:mergeCell ref="J45:K45"/>
    <x:mergeCell ref="L45:M45"/>
    <x:mergeCell ref="N45:O45"/>
    <x:mergeCell ref="P45:Q45"/>
    <x:mergeCell ref="R45:S45"/>
    <x:mergeCell ref="D46:E46"/>
    <x:mergeCell ref="F46:G46"/>
    <x:mergeCell ref="H46:I46"/>
    <x:mergeCell ref="J46:K46"/>
    <x:mergeCell ref="L46:M46"/>
    <x:mergeCell ref="N46:O46"/>
    <x:mergeCell ref="P46:Q46"/>
    <x:mergeCell ref="R46:S46"/>
    <x:mergeCell ref="A48:S48"/>
    <x:mergeCell ref="A49:S49"/>
    <x:mergeCell ref="A50:S50"/>
    <x:mergeCell ref="A53:S53"/>
    <x:mergeCell ref="A54:S54"/>
    <x:mergeCell ref="B56:C56"/>
    <x:mergeCell ref="D56:G56"/>
    <x:mergeCell ref="H56:I56"/>
    <x:mergeCell ref="J56:K56"/>
    <x:mergeCell ref="L56:P56"/>
    <x:mergeCell ref="Q56:S56"/>
    <x:mergeCell ref="B57:C57"/>
    <x:mergeCell ref="D57:G57"/>
    <x:mergeCell ref="H57:I57"/>
    <x:mergeCell ref="J57:K57"/>
    <x:mergeCell ref="L57:P57"/>
    <x:mergeCell ref="Q57:S57"/>
    <x:mergeCell ref="B58:C58"/>
    <x:mergeCell ref="D58:G58"/>
    <x:mergeCell ref="H58:I58"/>
    <x:mergeCell ref="J58:K58"/>
    <x:mergeCell ref="L58:P58"/>
    <x:mergeCell ref="Q58:S58"/>
    <x:mergeCell ref="B59:C59"/>
    <x:mergeCell ref="D59:G59"/>
    <x:mergeCell ref="H59:I59"/>
    <x:mergeCell ref="J59:K59"/>
    <x:mergeCell ref="L59:P59"/>
    <x:mergeCell ref="Q59:S59"/>
    <x:mergeCell ref="B60:C60"/>
    <x:mergeCell ref="D60:G60"/>
    <x:mergeCell ref="H60:I60"/>
    <x:mergeCell ref="J60:K60"/>
    <x:mergeCell ref="L60:P60"/>
    <x:mergeCell ref="Q60:S60"/>
    <x:mergeCell ref="B61:C61"/>
    <x:mergeCell ref="D61:G61"/>
    <x:mergeCell ref="H61:I61"/>
    <x:mergeCell ref="J61:K61"/>
    <x:mergeCell ref="L61:P61"/>
    <x:mergeCell ref="Q61:S61"/>
    <x:mergeCell ref="A63:S63"/>
    <x:mergeCell ref="A64:S64"/>
    <x:mergeCell ref="A67:S67"/>
    <x:mergeCell ref="A68:S68"/>
    <x:mergeCell ref="A70:B70"/>
    <x:mergeCell ref="C70:F70"/>
    <x:mergeCell ref="G70:I70"/>
    <x:mergeCell ref="J70:M70"/>
    <x:mergeCell ref="N70:O70"/>
    <x:mergeCell ref="P70:S70"/>
    <x:mergeCell ref="A71:B71"/>
    <x:mergeCell ref="C71:F71"/>
    <x:mergeCell ref="G71:I71"/>
    <x:mergeCell ref="J71:M71"/>
    <x:mergeCell ref="N71:O71"/>
    <x:mergeCell ref="P71:S71"/>
    <x:mergeCell ref="A72:B72"/>
    <x:mergeCell ref="C72:F72"/>
    <x:mergeCell ref="G72:I72"/>
    <x:mergeCell ref="J72:M72"/>
    <x:mergeCell ref="N72:O72"/>
    <x:mergeCell ref="P72:S72"/>
    <x:mergeCell ref="A73:B73"/>
    <x:mergeCell ref="C73:F73"/>
    <x:mergeCell ref="G73:I73"/>
    <x:mergeCell ref="J73:M73"/>
    <x:mergeCell ref="N73:O73"/>
    <x:mergeCell ref="P73:S73"/>
    <x:mergeCell ref="A74:B74"/>
    <x:mergeCell ref="C74:F74"/>
    <x:mergeCell ref="G74:I74"/>
    <x:mergeCell ref="J74:M74"/>
    <x:mergeCell ref="N74:O74"/>
    <x:mergeCell ref="P74:S74"/>
    <x:mergeCell ref="A76:S76"/>
  </x:mergeCells>
  <x:dataValidations count="1">
    <x:dataValidation type="list" sqref="B13:B21">
      <x:formula1>"是,否"</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10" hidden="0" customWidth="1"/>
    <x:col min="2" max="2" width="27.5" hidden="0" customWidth="1"/>
    <x:col min="3" max="3" width="45" hidden="0" customWidth="1"/>
    <x:col min="4" max="4" width="22.5" hidden="0" customWidth="1"/>
    <x:col min="5" max="5" width="13.130000114440918" hidden="0" customWidth="1"/>
    <x:col min="6" max="6" width="13.75" hidden="0" customWidth="1"/>
    <x:col min="7" max="7" width="27.5" hidden="0" customWidth="1"/>
    <x:col min="8" max="8" width="42.5" hidden="0" customWidth="1"/>
    <x:col min="9" max="9" width="17.5" hidden="0" customWidth="1"/>
    <x:col min="10" max="10" width="17.5" hidden="0" customWidth="1"/>
    <x:col min="11" max="11" width="37.5" hidden="0" customWidth="1"/>
  </x:cols>
  <x:sheetData>
    <x:row r="1" ht="30" customHeight="1">
      <x:c r="A1" s="4"/>
      <x:c r="B1" s="4"/>
      <x:c r="C1" s="4"/>
      <x:c r="D1" s="4"/>
      <x:c r="E1" s="4"/>
      <x:c r="F1" s="4"/>
      <x:c r="G1" s="4"/>
      <x:c r="H1" s="4"/>
    </x:row>
    <x:row r="2" ht="32" customHeight="1">
      <x:c r="A2" s="6" t="str">
        <x:v>质量保证、成果控制、计划复核与风险（仿真）</x:v>
      </x:c>
      <x:c r="B2" s="4"/>
      <x:c r="C2" s="4"/>
      <x:c r="D2" s="4"/>
      <x:c r="E2" s="4"/>
      <x:c r="F2" s="4"/>
      <x:c r="G2" s="4"/>
      <x:c r="H2" s="4"/>
    </x:row>
    <x:row r="3" ht="40" customHeight="1">
      <x:c r="A3" s="8" t="str">
        <x:v>16项产品质量标准沿用SRS；8项全过程质量活动及6项度量口径嵌入既有任务。实际执行、复测与验收证据尚未产生，保持留空。</x:v>
      </x:c>
      <x:c r="B3" s="4"/>
      <x:c r="C3" s="4"/>
      <x:c r="D3" s="4"/>
      <x:c r="E3" s="4"/>
      <x:c r="F3" s="4"/>
      <x:c r="G3" s="4"/>
      <x:c r="H3" s="4"/>
    </x:row>
    <x:row r="4" ht="30" customHeight="1">
      <x:c r="A4" s="4"/>
      <x:c r="B4" s="4"/>
      <x:c r="C4" s="4"/>
      <x:c r="D4" s="4"/>
      <x:c r="E4" s="4"/>
      <x:c r="F4" s="4"/>
      <x:c r="G4" s="4"/>
      <x:c r="H4" s="4"/>
    </x:row>
    <x:row r="5" ht="30" customHeight="1">
      <x:c r="A5" s="4"/>
      <x:c r="B5" s="4"/>
      <x:c r="C5" s="4"/>
      <x:c r="D5" s="4"/>
      <x:c r="E5" s="4"/>
      <x:c r="F5" s="4"/>
      <x:c r="G5" s="4"/>
      <x:c r="H5" s="4"/>
    </x:row>
    <x:row r="6" ht="42" customHeight="1">
      <x:c r="A6" s="11" t="str">
        <x:v>编号</x:v>
      </x:c>
      <x:c r="B6" s="11" t="str">
        <x:v>质量对象</x:v>
      </x:c>
      <x:c r="C6" s="11" t="str">
        <x:v>预定标准</x:v>
      </x:c>
      <x:c r="D6" s="11" t="str">
        <x:v>需求/验收依据</x:v>
      </x:c>
      <x:c r="E6" s="11" t="str">
        <x:v>对应任务</x:v>
      </x:c>
      <x:c r="F6" s="11" t="str">
        <x:v>仿真负责人</x:v>
      </x:c>
      <x:c r="G6" s="11" t="str">
        <x:v>实际日期/结果</x:v>
      </x:c>
      <x:c r="H6" s="11" t="str">
        <x:v>预定证据与待确认条件</x:v>
      </x:c>
      <x:c r="I6" s="31" t="str">
        <x:v>计划开始日期</x:v>
      </x:c>
      <x:c r="J6" s="31" t="str">
        <x:v>计划结束日期</x:v>
      </x:c>
      <x:c r="K6" s="31" t="str">
        <x:v>验证方法</x:v>
      </x:c>
    </x:row>
    <x:row r="7" ht="58" customHeight="1">
      <x:c r="A7" s="9" t="str">
        <x:v>Q01</x:v>
      </x:c>
      <x:c r="B7" s="9" t="str">
        <x:v>档案、备案与字典</x:v>
      </x:c>
      <x:c r="C7" s="9" t="str">
        <x:v>编码、字段、变更备案、历史快照与字典按SRS AC-01逐项验证</x:v>
      </x:c>
      <x:c r="D7" s="9" t="str">
        <x:v>AC-01</x:v>
      </x:c>
      <x:c r="E7" s="9" t="str">
        <x:v>T4.3</x:v>
      </x:c>
      <x:c r="F7" s="9" t="str">
        <x:v>R04</x:v>
      </x:c>
      <x:c r="G7" s="9"/>
      <x:c r="H7" s="9" t="str">
        <x:v>预定证据：版本、合成数据、预期/实际、日志和截图；实际证据未产生。</x:v>
      </x:c>
      <x:c r="I7" s="42" t="n">
        <x:f>MIN('任务与甘特'!T36)</x:f>
        <x:v>46356</x:v>
      </x:c>
      <x:c r="J7" s="42" t="n">
        <x:f>MAX('任务与甘特'!U36)</x:f>
        <x:v>46358</x:v>
      </x:c>
      <x:c r="K7" s="29" t="str">
        <x:v>按SRS对应AC构造正常、异常和边界用例并评审证据</x:v>
      </x:c>
    </x:row>
    <x:row r="8" ht="58" customHeight="1">
      <x:c r="A8" s="9" t="str">
        <x:v>Q02</x:v>
      </x:c>
      <x:c r="B8" s="9" t="str">
        <x:v>填报与窗口</x:v>
      </x:c>
      <x:c r="C8" s="9" t="str">
        <x:v>字段边界、条件必填、窗口和补报、版本及幂等按AC-02验证</x:v>
      </x:c>
      <x:c r="D8" s="9" t="str">
        <x:v>AC-02</x:v>
      </x:c>
      <x:c r="E8" s="9" t="str">
        <x:v>T4.3</x:v>
      </x:c>
      <x:c r="F8" s="9" t="str">
        <x:v>R04</x:v>
      </x:c>
      <x:c r="G8" s="9"/>
      <x:c r="H8" s="9" t="str">
        <x:v>预定证据：版本、合成数据、预期/实际、日志和截图；实际证据未产生。</x:v>
      </x:c>
      <x:c r="I8" s="42" t="n">
        <x:f>MIN('任务与甘特'!T36)</x:f>
        <x:v>46356</x:v>
      </x:c>
      <x:c r="J8" s="42" t="n">
        <x:f>MAX('任务与甘特'!U36)</x:f>
        <x:v>46358</x:v>
      </x:c>
      <x:c r="K8" s="29" t="str">
        <x:v>按SRS对应AC构造正常、异常和边界用例并评审证据</x:v>
      </x:c>
    </x:row>
    <x:row r="9" ht="58" customHeight="1">
      <x:c r="A9" s="9" t="str">
        <x:v>Q03</x:v>
      </x:c>
      <x:c r="B9" s="9" t="str">
        <x:v>审核与补报</x:v>
      </x:c>
      <x:c r="C9" s="9" t="str">
        <x:v>企业→市→省状态顺序、退回重提、补报和基准纠错按AC-03验证</x:v>
      </x:c>
      <x:c r="D9" s="9" t="str">
        <x:v>AC-03</x:v>
      </x:c>
      <x:c r="E9" s="9" t="str">
        <x:v>T4.3</x:v>
      </x:c>
      <x:c r="F9" s="9" t="str">
        <x:v>R04</x:v>
      </x:c>
      <x:c r="G9" s="9"/>
      <x:c r="H9" s="9" t="str">
        <x:v>预定证据：版本、合成数据、预期/实际、日志和截图；实际证据未产生。</x:v>
      </x:c>
      <x:c r="I9" s="42" t="n">
        <x:f>MIN('任务与甘特'!T36)</x:f>
        <x:v>46356</x:v>
      </x:c>
      <x:c r="J9" s="42" t="n">
        <x:f>MAX('任务与甘特'!U36)</x:f>
        <x:v>46358</x:v>
      </x:c>
      <x:c r="K9" s="29" t="str">
        <x:v>按SRS对应AC构造正常、异常和边界用例并评审证据</x:v>
      </x:c>
    </x:row>
    <x:row r="10" ht="58" customHeight="1">
      <x:c r="A10" s="9" t="str">
        <x:v>Q04</x:v>
      </x:c>
      <x:c r="B10" s="9" t="str">
        <x:v>修订、快照与审计</x:v>
      </x:c>
      <x:c r="C10" s="9" t="str">
        <x:v>原值不覆盖，生效撤销链与统计/批次快照一致，按AC-04验证</x:v>
      </x:c>
      <x:c r="D10" s="9" t="str">
        <x:v>AC-04</x:v>
      </x:c>
      <x:c r="E10" s="9" t="str">
        <x:v>T4.3</x:v>
      </x:c>
      <x:c r="F10" s="9" t="str">
        <x:v>R04</x:v>
      </x:c>
      <x:c r="G10" s="9"/>
      <x:c r="H10" s="9" t="str">
        <x:v>预定证据：版本、合成数据、预期/实际、日志和截图；实际证据未产生。</x:v>
      </x:c>
      <x:c r="I10" s="42" t="n">
        <x:f>MIN('任务与甘特'!T36)</x:f>
        <x:v>46356</x:v>
      </x:c>
      <x:c r="J10" s="42" t="n">
        <x:f>MAX('任务与甘特'!U36)</x:f>
        <x:v>46358</x:v>
      </x:c>
      <x:c r="K10" s="29" t="str">
        <x:v>按SRS对应AC构造正常、异常和边界用例并评审证据</x:v>
      </x:c>
    </x:row>
    <x:row r="11" ht="58" customHeight="1">
      <x:c r="A11" s="9" t="str">
        <x:v>Q05</x:v>
      </x:c>
      <x:c r="B11" s="9" t="str">
        <x:v>权限、用户与通知</x:v>
      </x:c>
      <x:c r="C11" s="9" t="str">
        <x:v>跨企业跨市拒绝、撤权生效、通知可见范围、管理员生命周期</x:v>
      </x:c>
      <x:c r="D11" s="9" t="str">
        <x:v>AC-05, AC-08</x:v>
      </x:c>
      <x:c r="E11" s="9" t="str">
        <x:v>T4.3,T4.6</x:v>
      </x:c>
      <x:c r="F11" s="9" t="str">
        <x:v>R04</x:v>
      </x:c>
      <x:c r="G11" s="9"/>
      <x:c r="H11" s="9" t="str">
        <x:v>预定证据：版本、合成数据、预期/实际、日志和截图；实际证据未产生。</x:v>
      </x:c>
      <x:c r="I11" s="42" t="n">
        <x:f>MIN('任务与甘特'!T36,'任务与甘特'!T39)</x:f>
        <x:v>46351</x:v>
      </x:c>
      <x:c r="J11" s="42" t="n">
        <x:f>MAX('任务与甘特'!U36,'任务与甘特'!U39)</x:f>
        <x:v>46358</x:v>
      </x:c>
      <x:c r="K11" s="29" t="str">
        <x:v>按SRS对应AC构造正常、异常和边界用例并评审证据</x:v>
      </x:c>
    </x:row>
    <x:row r="12" ht="58" customHeight="1">
      <x:c r="A12" s="9" t="str">
        <x:v>Q06</x:v>
      </x:c>
      <x:c r="B12" s="9" t="str">
        <x:v>查询导出</x:v>
      </x:c>
      <x:c r="C12" s="9" t="str">
        <x:v>13条件、命中行数、中文前导零、安全文本、过期和下载权限一致</x:v>
      </x:c>
      <x:c r="D12" s="9" t="str">
        <x:v>AC-06, IF-03</x:v>
      </x:c>
      <x:c r="E12" s="9" t="str">
        <x:v>T4.3</x:v>
      </x:c>
      <x:c r="F12" s="9" t="str">
        <x:v>R04</x:v>
      </x:c>
      <x:c r="G12" s="9"/>
      <x:c r="H12" s="9" t="str">
        <x:v>预定证据：版本、合成数据、预期/实际、日志和截图；实际证据未产生。</x:v>
      </x:c>
      <x:c r="I12" s="42" t="n">
        <x:f>MIN('任务与甘特'!T36)</x:f>
        <x:v>46356</x:v>
      </x:c>
      <x:c r="J12" s="42" t="n">
        <x:f>MAX('任务与甘特'!U36)</x:f>
        <x:v>46358</x:v>
      </x:c>
      <x:c r="K12" s="29" t="str">
        <x:v>按SRS对应AC构造正常、异常和边界用例并评审证据</x:v>
      </x:c>
    </x:row>
    <x:row r="13" ht="58" customHeight="1">
      <x:c r="A13" s="9" t="str">
        <x:v>Q07</x:v>
      </x:c>
      <x:c r="B13" s="9" t="str">
        <x:v>指标与图表</x:v>
      </x:c>
      <x:c r="C13" s="9" t="str">
        <x:v>按SRS 3.9复算六指标，缺样本不补0、0分母不可计算、图表表格同源</x:v>
      </x:c>
      <x:c r="D13" s="9" t="str">
        <x:v>AC-07</x:v>
      </x:c>
      <x:c r="E13" s="9" t="str">
        <x:v>T4.3</x:v>
      </x:c>
      <x:c r="F13" s="9" t="str">
        <x:v>R04</x:v>
      </x:c>
      <x:c r="G13" s="9"/>
      <x:c r="H13" s="9" t="str">
        <x:v>预定证据：版本、合成数据、预期/实际、日志和截图；实际证据未产生。</x:v>
      </x:c>
      <x:c r="I13" s="42" t="n">
        <x:f>MIN('任务与甘特'!T36)</x:f>
        <x:v>46356</x:v>
      </x:c>
      <x:c r="J13" s="42" t="n">
        <x:f>MAX('任务与甘特'!U36)</x:f>
        <x:v>46358</x:v>
      </x:c>
      <x:c r="K13" s="29" t="str">
        <x:v>按SRS对应AC构造正常、异常和边界用例并评审证据</x:v>
      </x:c>
    </x:row>
    <x:row r="14" ht="58" customHeight="1">
      <x:c r="A14" s="9" t="str">
        <x:v>Q08</x:v>
      </x:c>
      <x:c r="B14" s="9" t="str">
        <x:v>删除恢复与保留</x:v>
      </x:c>
      <x:c r="C14" s="9" t="str">
        <x:v>冻结引用、删除恢复期限、脱敏、期限配置及审计按AC-09验证</x:v>
      </x:c>
      <x:c r="D14" s="9" t="str">
        <x:v>AC-09, NFR-09</x:v>
      </x:c>
      <x:c r="E14" s="9" t="str">
        <x:v>T4.3,T4.6</x:v>
      </x:c>
      <x:c r="F14" s="9" t="str">
        <x:v>R04</x:v>
      </x:c>
      <x:c r="G14" s="9"/>
      <x:c r="H14" s="9" t="str">
        <x:v>预定证据：版本、合成数据、预期/实际、日志和截图；实际证据未产生。</x:v>
      </x:c>
      <x:c r="I14" s="42" t="n">
        <x:f>MIN('任务与甘特'!T36,'任务与甘特'!T39)</x:f>
        <x:v>46351</x:v>
      </x:c>
      <x:c r="J14" s="42" t="n">
        <x:f>MAX('任务与甘特'!U36,'任务与甘特'!U39)</x:f>
        <x:v>46358</x:v>
      </x:c>
      <x:c r="K14" s="29" t="str">
        <x:v>按SRS对应AC构造正常、异常和边界用例并评审证据</x:v>
      </x:c>
    </x:row>
    <x:row r="15" ht="58" customHeight="1">
      <x:c r="A15" s="9" t="str">
        <x:v>Q09</x:v>
      </x:c>
      <x:c r="B15" s="9" t="str">
        <x:v>MOCK交换</x:v>
      </x:c>
      <x:c r="C15" s="9" t="str">
        <x:v>黄金字节摘要、模拟回执、重复发送、超时UNKNOWN与恢复按AC-10A验证</x:v>
      </x:c>
      <x:c r="D15" s="9" t="str">
        <x:v>AC-10A, IF-01</x:v>
      </x:c>
      <x:c r="E15" s="9" t="str">
        <x:v>T4.4</x:v>
      </x:c>
      <x:c r="F15" s="9" t="str">
        <x:v>R04</x:v>
      </x:c>
      <x:c r="G15" s="9"/>
      <x:c r="H15" s="9" t="str">
        <x:v>预定证据：版本、合成数据、预期/实际、日志和截图；实际证据未产生。</x:v>
      </x:c>
      <x:c r="I15" s="42" t="n">
        <x:f>MIN('任务与甘特'!T37)</x:f>
        <x:v>46343</x:v>
      </x:c>
      <x:c r="J15" s="42" t="n">
        <x:f>MAX('任务与甘特'!U37)</x:f>
        <x:v>46344</x:v>
      </x:c>
      <x:c r="K15" s="29" t="str">
        <x:v>按SRS对应AC构造正常、异常和边界用例并评审证据</x:v>
      </x:c>
    </x:row>
    <x:row r="16" ht="58" customHeight="1">
      <x:c r="A16" s="9" t="str">
        <x:v>Q10</x:v>
      </x:c>
      <x:c r="B16" s="9" t="str">
        <x:v>真实国家交换</x:v>
      </x:c>
      <x:c r="C16" s="9" t="str">
        <x:v>实际协议、认证、字段编码映射与可核验接收凭据齐备；不能用MOCK替代</x:v>
      </x:c>
      <x:c r="D16" s="9" t="str">
        <x:v>AC-10B, IF-01</x:v>
      </x:c>
      <x:c r="E16" s="9" t="str">
        <x:v>T4.5</x:v>
      </x:c>
      <x:c r="F16" s="9" t="str">
        <x:v>R04</x:v>
      </x:c>
      <x:c r="G16" s="9"/>
      <x:c r="H16" s="9" t="str">
        <x:v>预定证据：版本、合成数据、预期/实际、日志和截图；实际证据未产生。真实交换须实际接收凭据，MOCK不能替代。</x:v>
      </x:c>
      <x:c r="I16" s="42" t="n">
        <x:f>MIN('任务与甘特'!T38)</x:f>
        <x:v>46345</x:v>
      </x:c>
      <x:c r="J16" s="42" t="n">
        <x:f>MAX('任务与甘特'!U38)</x:f>
        <x:v>46346</x:v>
      </x:c>
      <x:c r="K16" s="29" t="str">
        <x:v>在假定可用的受控真实端点核验认证、映射和接收凭据</x:v>
      </x:c>
    </x:row>
    <x:row r="17" ht="58" customHeight="1">
      <x:c r="A17" s="9" t="str">
        <x:v>Q11</x:v>
      </x:c>
      <x:c r="B17" s="9" t="str">
        <x:v>容量与性能</x:v>
      </x:c>
      <x:c r="C17" s="9" t="str">
        <x:v>10,000企业/600,000月报/200并发；六类成功率各≥90%；列表等P95≤3秒，汇总≤5秒；技术错误率&lt;1%</x:v>
      </x:c>
      <x:c r="D17" s="9" t="str">
        <x:v>AC-11, NFR-01/02</x:v>
      </x:c>
      <x:c r="E17" s="9" t="str">
        <x:v>T4.7</x:v>
      </x:c>
      <x:c r="F17" s="9" t="str">
        <x:v>R04</x:v>
      </x:c>
      <x:c r="G17" s="9"/>
      <x:c r="H17" s="9" t="str">
        <x:v>预定证据：版本、合成数据、预期/实际、日志和截图；实际证据未产生。</x:v>
      </x:c>
      <x:c r="I17" s="42" t="n">
        <x:f>MIN('任务与甘特'!T40)</x:f>
        <x:v>46351</x:v>
      </x:c>
      <x:c r="J17" s="42" t="n">
        <x:f>MAX('任务与甘特'!U40)</x:f>
        <x:v>46353</x:v>
      </x:c>
      <x:c r="K17" s="29" t="str">
        <x:v>独立负载机按SRS混合负载与导出口径执行</x:v>
      </x:c>
    </x:row>
    <x:row r="18" ht="58" customHeight="1">
      <x:c r="A18" s="9" t="str">
        <x:v>Q12</x:v>
      </x:c>
      <x:c r="B18" s="9" t="str">
        <x:v>导出性能</x:v>
      </x:c>
      <x:c r="C18" s="9" t="str">
        <x:v>10,000行、最多30列导出≤60秒；3次取最慢；更大数据异步可查</x:v>
      </x:c>
      <x:c r="D18" s="9" t="str">
        <x:v>AC-11, NFR-03</x:v>
      </x:c>
      <x:c r="E18" s="9" t="str">
        <x:v>T4.7</x:v>
      </x:c>
      <x:c r="F18" s="9" t="str">
        <x:v>R04</x:v>
      </x:c>
      <x:c r="G18" s="9"/>
      <x:c r="H18" s="9" t="str">
        <x:v>预定证据：版本、合成数据、预期/实际、日志和截图；实际证据未产生。</x:v>
      </x:c>
      <x:c r="I18" s="42" t="n">
        <x:f>MIN('任务与甘特'!T40)</x:f>
        <x:v>46351</x:v>
      </x:c>
      <x:c r="J18" s="42" t="n">
        <x:f>MAX('任务与甘特'!U40)</x:f>
        <x:v>46353</x:v>
      </x:c>
      <x:c r="K18" s="29" t="str">
        <x:v>独立负载机按SRS混合负载与导出口径执行</x:v>
      </x:c>
    </x:row>
    <x:row r="19" ht="58" customHeight="1">
      <x:c r="A19" s="9" t="str">
        <x:v>Q13</x:v>
      </x:c>
      <x:c r="B19" s="9" t="str">
        <x:v>运行与恢复</x:v>
      </x:c>
      <x:c r="C19" s="9" t="str">
        <x:v>72小时集成运行及重启；月可用性目标≥99.5%另持续测量；RPO≤24小时/RTO≤4小时</x:v>
      </x:c>
      <x:c r="D19" s="9" t="str">
        <x:v>AC-12, NFR-04/05</x:v>
      </x:c>
      <x:c r="E19" s="9" t="str">
        <x:v>T4.8</x:v>
      </x:c>
      <x:c r="F19" s="9" t="str">
        <x:v>R04</x:v>
      </x:c>
      <x:c r="G19" s="9"/>
      <x:c r="H19" s="9" t="str">
        <x:v>预定证据：版本、合成数据、预期/实际、日志和截图；实际证据未产生。</x:v>
      </x:c>
      <x:c r="I19" s="42" t="n">
        <x:f>MIN('任务与甘特'!T41)</x:f>
        <x:v>46353</x:v>
      </x:c>
      <x:c r="J19" s="42" t="n">
        <x:f>MAX('任务与甘特'!U41)</x:f>
        <x:v>46358</x:v>
      </x:c>
      <x:c r="K19" s="29" t="str">
        <x:v>自动运行≥72自然小时及恢复演练；人员仅计配置/观察</x:v>
      </x:c>
    </x:row>
    <x:row r="20" ht="58" customHeight="1">
      <x:c r="A20" s="9" t="str">
        <x:v>Q14</x:v>
      </x:c>
      <x:c r="B20" s="9" t="str">
        <x:v>安全与一致性</x:v>
      </x:c>
      <x:c r="C20" s="9" t="str">
        <x:v>范围鉴权、HTTPS/口令/TOTP、并发审计；严重高危漏洞0、状态无部分写入</x:v>
      </x:c>
      <x:c r="D20" s="9" t="str">
        <x:v>AC-13, NFR-06～09</x:v>
      </x:c>
      <x:c r="E20" s="9" t="str">
        <x:v>T4.6</x:v>
      </x:c>
      <x:c r="F20" s="9" t="str">
        <x:v>R04</x:v>
      </x:c>
      <x:c r="G20" s="9"/>
      <x:c r="H20" s="9" t="str">
        <x:v>预定证据：版本、合成数据、预期/实际、日志和截图；实际证据未产生。</x:v>
      </x:c>
      <x:c r="I20" s="42" t="n">
        <x:f>MIN('任务与甘特'!T39)</x:f>
        <x:v>46351</x:v>
      </x:c>
      <x:c r="J20" s="42" t="n">
        <x:f>MAX('任务与甘特'!U39)</x:f>
        <x:v>46353</x:v>
      </x:c>
      <x:c r="K20" s="29" t="str">
        <x:v>按SRS对应AC构造正常、异常和边界用例并评审证据</x:v>
      </x:c>
    </x:row>
    <x:row r="21" ht="58" customHeight="1">
      <x:c r="A21" s="9" t="str">
        <x:v>Q15</x:v>
      </x:c>
      <x:c r="B21" s="9" t="str">
        <x:v>兼容、监控与部署</x:v>
      </x:c>
      <x:c r="C21" s="9" t="str">
        <x:v>Chrome/Edge验收时最近两稳定主版本；规定分辨率与Excel/WPS；真实采集、部署迁移恢复回滚留证</x:v>
      </x:c>
      <x:c r="D21" s="9" t="str">
        <x:v>AC-14, NFR-10/11, IF-04</x:v>
      </x:c>
      <x:c r="E21" s="9" t="str">
        <x:v>T4.9</x:v>
      </x:c>
      <x:c r="F21" s="9" t="str">
        <x:v>R04</x:v>
      </x:c>
      <x:c r="G21" s="9"/>
      <x:c r="H21" s="9" t="str">
        <x:v>预定证据：版本、合成数据、预期/实际、日志和截图；实际证据未产生。</x:v>
      </x:c>
      <x:c r="I21" s="42" t="n">
        <x:f>MIN('任务与甘特'!T42)</x:f>
        <x:v>46351</x:v>
      </x:c>
      <x:c r="J21" s="42" t="n">
        <x:f>MAX('任务与甘特'!U42)</x:f>
        <x:v>46352</x:v>
      </x:c>
      <x:c r="K21" s="29" t="str">
        <x:v>按SRS对应AC构造正常、异常和边界用例并评审证据</x:v>
      </x:c>
    </x:row>
    <x:row r="22" ht="58" customHeight="1">
      <x:c r="A22" s="9" t="str">
        <x:v>Q16</x:v>
      </x:c>
      <x:c r="B22" s="9" t="str">
        <x:v>最终交付</x:v>
      </x:c>
      <x:c r="C22" s="9" t="str">
        <x:v>FR/NFR/IF逐条证据；关键必需测试100%；阻断严重功能缺陷0；最终通过包含AC-10B</x:v>
      </x:c>
      <x:c r="D22" s="9" t="str">
        <x:v>SRS 9.4–9.5</x:v>
      </x:c>
      <x:c r="E22" s="9" t="str">
        <x:v>T5.6</x:v>
      </x:c>
      <x:c r="F22" s="9" t="str">
        <x:v>R01</x:v>
      </x:c>
      <x:c r="G22" s="9"/>
      <x:c r="H22" s="9" t="str">
        <x:v>预定证据：版本、合成数据、预期/实际、日志和截图；实际证据未产生。</x:v>
      </x:c>
      <x:c r="I22" s="42" t="n">
        <x:f>MIN('任务与甘特'!T49)</x:f>
        <x:v>46367</x:v>
      </x:c>
      <x:c r="J22" s="42" t="n">
        <x:f>MAX('任务与甘特'!U49)</x:f>
        <x:v>46367</x:v>
      </x:c>
      <x:c r="K22" s="29" t="str">
        <x:v>按SRS对应AC构造正常、异常和边界用例并评审证据</x:v>
      </x:c>
    </x:row>
    <x:row r="23" ht="30" customHeight="1">
      <x:c r="A23" s="4"/>
      <x:c r="B23" s="4"/>
      <x:c r="C23" s="4"/>
      <x:c r="D23" s="4"/>
      <x:c r="E23" s="4"/>
      <x:c r="F23" s="4"/>
      <x:c r="G23" s="4"/>
      <x:c r="H23" s="4"/>
    </x:row>
    <x:row r="24" ht="30" customHeight="1">
      <x:c r="A24" s="4"/>
      <x:c r="B24" s="4"/>
      <x:c r="C24" s="4"/>
      <x:c r="D24" s="4"/>
      <x:c r="E24" s="4"/>
      <x:c r="F24" s="4"/>
      <x:c r="G24" s="4"/>
      <x:c r="H24" s="4"/>
    </x:row>
    <x:row r="25" ht="85" customHeight="1">
      <x:c r="A25" s="11" t="str">
        <x:v>复核节点</x:v>
      </x:c>
      <x:c r="B25" s="11" t="str">
        <x:v>拟定复核内容</x:v>
      </x:c>
      <x:c r="C25" s="11" t="str">
        <x:v>预定成果</x:v>
      </x:c>
      <x:c r="D25" s="11" t="str">
        <x:v>计划版本</x:v>
      </x:c>
      <x:c r="E25" s="11" t="str">
        <x:v>实际日期</x:v>
      </x:c>
      <x:c r="F25" s="11" t="str">
        <x:v>编制/复核人</x:v>
      </x:c>
      <x:c r="G25" s="11" t="str">
        <x:v>变更影响</x:v>
      </x:c>
      <x:c r="H25" s="11" t="str">
        <x:v>处理说明</x:v>
      </x:c>
      <x:c r="I25" s="40" t="str">
        <x:v>拟定复核日期</x:v>
      </x:c>
    </x:row>
    <x:row r="26" ht="85" customHeight="1">
      <x:c r="A26" s="9" t="str">
        <x:v>W2</x:v>
      </x:c>
      <x:c r="B26" s="9" t="str">
        <x:v>WBS、估算依据与已识别风险细化</x:v>
      </x:c>
      <x:c r="C26" s="9" t="str">
        <x:v>复核需求、工作量假设、储备缺口和资源负荷</x:v>
      </x:c>
      <x:c r="D26" s="9" t="str">
        <x:v>按实际修订登记</x:v>
      </x:c>
      <x:c r="E26" s="9"/>
      <x:c r="F26" s="9" t="str">
        <x:v>R01编制、R04复核</x:v>
      </x:c>
      <x:c r="G26" s="9"/>
      <x:c r="H26" s="9" t="str">
        <x:v>拟定复核：范围、进度、资源、成本与质量；实际日期和变更影响发生后填写。</x:v>
      </x:c>
      <x:c r="I26" s="45" t="n">
        <x:f>WORKDAY('项目总表'!$B$15-1,10)</x:f>
        <x:v>46325</x:v>
      </x:c>
    </x:row>
    <x:row r="27" ht="85" customHeight="1">
      <x:c r="A27" s="9" t="str">
        <x:v>W4</x:v>
      </x:c>
      <x:c r="B27" s="9" t="str">
        <x:v>主业务链与成本基准阶段复核</x:v>
      </x:c>
      <x:c r="C27" s="9" t="str">
        <x:v>复核剩余工作、累计PV与真实执行数据</x:v>
      </x:c>
      <x:c r="D27" s="9" t="str">
        <x:v>按实际修订登记</x:v>
      </x:c>
      <x:c r="E27" s="9"/>
      <x:c r="F27" s="9" t="str">
        <x:v>R01编制、R04复核</x:v>
      </x:c>
      <x:c r="G27" s="9"/>
      <x:c r="H27" s="9" t="str">
        <x:v>拟定复核：范围、进度、资源、成本与质量；实际日期和变更影响发生后填写。</x:v>
      </x:c>
      <x:c r="I27" s="45" t="n">
        <x:f>WORKDAY('项目总表'!$B$15-1,20)</x:f>
        <x:v>46339</x:v>
      </x:c>
    </x:row>
    <x:row r="28" ht="85" customHeight="1">
      <x:c r="A28" s="9" t="str">
        <x:v>W6</x:v>
      </x:c>
      <x:c r="B28" s="9" t="str">
        <x:v>集成、质量成本与外部条件复核</x:v>
      </x:c>
      <x:c r="C28" s="9" t="str">
        <x:v>复核风险响应、验证成本及剩余任务</x:v>
      </x:c>
      <x:c r="D28" s="9" t="str">
        <x:v>按实际修订登记</x:v>
      </x:c>
      <x:c r="E28" s="9"/>
      <x:c r="F28" s="9" t="str">
        <x:v>R01编制、R04复核</x:v>
      </x:c>
      <x:c r="G28" s="9"/>
      <x:c r="H28" s="9" t="str">
        <x:v>拟定复核：范围、进度、资源、成本与质量；实际日期和变更影响发生后填写。</x:v>
      </x:c>
      <x:c r="I28" s="45" t="n">
        <x:f>WORKDAY('项目总表'!$B$15-1,30)</x:f>
        <x:v>46353</x:v>
      </x:c>
    </x:row>
    <x:row r="29" ht="85" customHeight="1">
      <x:c r="A29" s="9" t="str">
        <x:v>W8</x:v>
      </x:c>
      <x:c r="B29" s="9" t="str">
        <x:v>最终计划与真实版本证据复核</x:v>
      </x:c>
      <x:c r="C29" s="9" t="str">
        <x:v>最终计划、变更单及提交历史截图</x:v>
      </x:c>
      <x:c r="D29" s="9" t="str">
        <x:v>按实际修订登记</x:v>
      </x:c>
      <x:c r="E29" s="9"/>
      <x:c r="F29" s="9" t="str">
        <x:v>R01编制、R04复核</x:v>
      </x:c>
      <x:c r="G29" s="9"/>
      <x:c r="H29" s="9" t="str">
        <x:v>拟定复核：范围、进度、资源、成本与质量；实际日期和变更影响发生后填写。</x:v>
      </x:c>
      <x:c r="I29" s="45" t="n">
        <x:f>WORKDAY('项目总表'!$B$15-1,40)</x:f>
        <x:v>46367</x:v>
      </x:c>
    </x:row>
    <x:row r="30" ht="30" customHeight="1">
      <x:c r="A30" s="4"/>
      <x:c r="B30" s="4"/>
      <x:c r="C30" s="4"/>
      <x:c r="D30" s="4"/>
      <x:c r="E30" s="4"/>
      <x:c r="F30" s="4"/>
      <x:c r="G30" s="4"/>
      <x:c r="H30" s="4"/>
    </x:row>
    <x:row r="31" ht="30" customHeight="1">
      <x:c r="A31" s="4"/>
      <x:c r="B31" s="4"/>
      <x:c r="C31" s="4"/>
      <x:c r="D31" s="4"/>
      <x:c r="E31" s="4"/>
      <x:c r="F31" s="4"/>
      <x:c r="G31" s="4"/>
      <x:c r="H31" s="4"/>
    </x:row>
    <x:row r="32" ht="38" customHeight="1">
      <x:c r="A32" s="11" t="str">
        <x:v>风险ID</x:v>
      </x:c>
      <x:c r="B32" s="11" t="str">
        <x:v>需关注的条件</x:v>
      </x:c>
      <x:c r="C32" s="11" t="str">
        <x:v>可能影响</x:v>
      </x:c>
      <x:c r="D32" s="11" t="str">
        <x:v>风险应对措施</x:v>
      </x:c>
      <x:c r="E32" s="11" t="str">
        <x:v>责任人</x:v>
      </x:c>
      <x:c r="F32" s="11" t="str">
        <x:v>时间储备</x:v>
      </x:c>
      <x:c r="G32" s="11" t="str">
        <x:v>费用储备</x:v>
      </x:c>
      <x:c r="H32" s="11" t="str">
        <x:v>状态</x:v>
      </x:c>
    </x:row>
    <x:row r="33" ht="88" customHeight="1">
      <x:c r="A33" s="9" t="str">
        <x:v>RK01</x:v>
      </x:c>
      <x:c r="B33" s="9" t="str">
        <x:v>人员能力或自动化辅助效率低于假设</x:v>
      </x:c>
      <x:c r="C33" s="9" t="str">
        <x:v>开发投入上升，8周计划可能失效</x:v>
      </x:c>
      <x:c r="D33" s="9" t="str">
        <x:v>逐周复核效率；W2/W4重点复核。优先调整分工与可用容量；影响基线时办理CR，不降低验收标准。</x:v>
      </x:c>
      <x:c r="E33" s="9" t="str">
        <x:v>R01</x:v>
      </x:c>
      <x:c r="F33" s="9" t="str">
        <x:v>利用任务时差与未分配容量</x:v>
      </x:c>
      <x:c r="G33" s="9" t="str">
        <x:v>应急储备未单列；额度待评估，见成本预算储备登记。</x:v>
      </x:c>
      <x:c r="H33" s="9" t="str">
        <x:v>仿真假设，实际情况待确认</x:v>
      </x:c>
    </x:row>
    <x:row r="34" ht="88" customHeight="1">
      <x:c r="A34" s="9" t="str">
        <x:v>RK02</x:v>
      </x:c>
      <x:c r="B34" s="9" t="str">
        <x:v>真实交换条件未于W2具备</x:v>
      </x:c>
      <x:c r="C34" s="9" t="str">
        <x:v>REAL适配、AC-10B和验收延迟</x:v>
      </x:c>
      <x:c r="D34" s="9" t="str">
        <x:v>W2核对外部输入；缺失时记录范围、进度、成本影响并办理CR，不用MOCK算通过。</x:v>
      </x:c>
      <x:c r="E34" s="9" t="str">
        <x:v>R01/R02</x:v>
      </x:c>
      <x:c r="F34" s="9" t="str">
        <x:v>以Project重算为准</x:v>
      </x:c>
      <x:c r="G34" s="9" t="str">
        <x:v>应急储备未单列；额度待评估，见成本预算储备登记。</x:v>
      </x:c>
      <x:c r="H34" s="9" t="str">
        <x:v>已假设W2可用，未声明实际具备</x:v>
      </x:c>
    </x:row>
    <x:row r="35" ht="88" customHeight="1">
      <x:c r="A35" s="9" t="str">
        <x:v>RK03</x:v>
      </x:c>
      <x:c r="B35" s="9" t="str">
        <x:v>负载环境或部署资源不足</x:v>
      </x:c>
      <x:c r="C35" s="9" t="str">
        <x:v>性能、72小时运行与试运行受影响</x:v>
      </x:c>
      <x:c r="D35" s="9" t="str">
        <x:v>C06预留独立负载/应用数据库资源，QA复核运行限额</x:v>
      </x:c>
      <x:c r="E35" s="9" t="str">
        <x:v>R04</x:v>
      </x:c>
      <x:c r="F35" s="9" t="str">
        <x:v>利用任务时差</x:v>
      </x:c>
      <x:c r="G35" s="9" t="str">
        <x:v>应急储备未单列；额度待评估，见成本预算储备登记。</x:v>
      </x:c>
      <x:c r="H35" s="9" t="str">
        <x:v>资源费用为仿真估算</x:v>
      </x:c>
    </x:row>
    <x:row r="36" ht="88" customHeight="1">
      <x:c r="A36" s="9" t="str">
        <x:v>RK04</x:v>
      </x:c>
      <x:c r="B36" s="9" t="str">
        <x:v>投入、费率或分摊变化</x:v>
      </x:c>
      <x:c r="C36" s="9" t="str">
        <x:v>实际成本偏离预算</x:v>
      </x:c>
      <x:c r="D36" s="9" t="str">
        <x:v>每周以累计PV、AC和EV分析偏差与原因；基线变化办理CR，不能只以支出少认定成本绩效良好。</x:v>
      </x:c>
      <x:c r="E36" s="9" t="str">
        <x:v>R01</x:v>
      </x:c>
      <x:c r="F36" s="9" t="str">
        <x:v>不增加固定期限</x:v>
      </x:c>
      <x:c r="G36" s="9" t="str">
        <x:v>应急储备未单列；额度待评估，见成本预算储备登记。</x:v>
      </x:c>
      <x:c r="H36" s="9" t="str">
        <x:v>实际成本与偏差尚未发生</x:v>
      </x:c>
    </x:row>
    <x:row r="37" ht="88" customHeight="1">
      <x:c r="A37" s="9" t="str">
        <x:v>RK05</x:v>
      </x:c>
      <x:c r="B37" s="9" t="str">
        <x:v>原型或组件不能按假设复用</x:v>
      </x:c>
      <x:c r="C37" s="9" t="str">
        <x:v>重新实现工作量上升</x:v>
      </x:c>
      <x:c r="D37" s="9" t="str">
        <x:v>仅复用需求和交互设计，核验库和组件；正式后端/交换仍需开发验证</x:v>
      </x:c>
      <x:c r="E37" s="9" t="str">
        <x:v>R02</x:v>
      </x:c>
      <x:c r="F37" s="9" t="str">
        <x:v>重排并评估8周可行性</x:v>
      </x:c>
      <x:c r="G37" s="9" t="str">
        <x:v>应急储备未单列；额度待评估，见成本预算储备登记。</x:v>
      </x:c>
      <x:c r="H37" s="9" t="str">
        <x:v>不将离线原型视为正式功能已完成</x:v>
      </x:c>
    </x:row>
    <x:row r="38" ht="30" customHeight="1">
      <x:c r="A38" s="4"/>
      <x:c r="B38" s="4"/>
      <x:c r="C38" s="4"/>
      <x:c r="D38" s="4"/>
      <x:c r="E38" s="4"/>
      <x:c r="F38" s="4"/>
      <x:c r="G38" s="4"/>
      <x:c r="H38" s="4"/>
    </x:row>
    <x:row r="39" ht="30" customHeight="1">
      <x:c r="A39" s="4"/>
      <x:c r="B39" s="4"/>
      <x:c r="C39" s="4"/>
      <x:c r="D39" s="4"/>
      <x:c r="E39" s="4"/>
      <x:c r="F39" s="4"/>
      <x:c r="G39" s="4"/>
      <x:c r="H39" s="4"/>
    </x:row>
    <x:row r="40" ht="42" customHeight="1">
      <x:c r="A40" s="31" t="str">
        <x:v>本次计划迭代</x:v>
      </x:c>
      <x:c r="B40" s="31" t="str">
        <x:v>完成日期</x:v>
      </x:c>
      <x:c r="C40" s="31" t="str">
        <x:v>版本</x:v>
      </x:c>
      <x:c r="D40" s="31" t="str">
        <x:v>人员</x:v>
      </x:c>
      <x:c r="E40" s="31" t="str">
        <x:v>进度变化</x:v>
      </x:c>
      <x:c r="F40" s="31" t="str">
        <x:v>资源变化</x:v>
      </x:c>
      <x:c r="G40" s="31" t="str">
        <x:v>成本变化</x:v>
      </x:c>
      <x:c r="H40" s="31" t="str">
        <x:v>说明</x:v>
      </x:c>
    </x:row>
    <x:row r="41" ht="58" customHeight="1">
      <x:c r="A41" s="29" t="str">
        <x:v>V0.1→V1.0</x:v>
      </x:c>
      <x:c r="B41" s="42" t="d">
        <x:v>2026-10-14T00:00:00.000Z</x:v>
      </x:c>
      <x:c r="C41" s="29" t="str">
        <x:v>V1.0</x:v>
      </x:c>
      <x:c r="D41" s="29" t="str">
        <x:v>R01/R04</x:v>
      </x:c>
      <x:c r="E41" s="29" t="str">
        <x:v>补齐40工作日排期及FS/SS关系</x:v>
      </x:c>
      <x:c r="F41" s="29" t="str">
        <x:v>由未定槽位改为4人，逐日核验负荷</x:v>
      </x:c>
      <x:c r="G41" s="29" t="str">
        <x:v>估算并分周编制基准与10%储备</x:v>
      </x:c>
      <x:c r="H41" s="29" t="str">
        <x:v>仅完成仿真计划编制，不是软件执行成果</x:v>
      </x:c>
    </x:row>
    <x:row r="42" ht="96" customHeight="1">
      <x:c r="A42" s="63" t="str">
        <x:v>V1.0→V1.1</x:v>
      </x:c>
      <x:c r="B42" s="69" t="d">
        <x:v>2026-10-20T00:00:00.000Z</x:v>
      </x:c>
      <x:c r="C42" s="63" t="str">
        <x:v>V1.1 / CM-R3</x:v>
      </x:c>
      <x:c r="D42" s="63" t="str">
        <x:v>R01（计划编制角色）</x:v>
      </x:c>
      <x:c r="E42" s="63" t="str">
        <x:v>完善逐周控制，排期不变</x:v>
      </x:c>
      <x:c r="F42" s="63" t="str">
        <x:v>4人及877人时不变</x:v>
      </x:c>
      <x:c r="G42" s="63" t="str">
        <x:v>分类及控制口径完善，金额不变</x:v>
      </x:c>
      <x:c r="H42" s="63" t="str">
        <x:v>CR-003已修订计划；实际软件执行、支出及未来迭代结果不预填。</x:v>
      </x:c>
    </x:row>
    <x:row r="43" ht="96" customHeight="1">
      <x:c r="A43" s="79" t="str">
        <x:v>V1.1→V1.2</x:v>
      </x:c>
      <x:c r="B43" s="80" t="d">
        <x:v>2026-10-20T00:00:00.000Z</x:v>
      </x:c>
      <x:c r="C43" s="79" t="str">
        <x:v>V1.2 / CM-R4</x:v>
      </x:c>
      <x:c r="D43" s="79" t="str">
        <x:v>R01（计划编制角色）</x:v>
      </x:c>
      <x:c r="E43" s="79" t="str">
        <x:v>质量活动嵌入原任务，日期不变</x:v>
      </x:c>
      <x:c r="F43" s="79" t="str">
        <x:v>责任及交叉复核细化，分配不变</x:v>
      </x:c>
      <x:c r="G43" s="79" t="str">
        <x:v>质量成本分类说明，金额不变</x:v>
      </x:c>
      <x:c r="H43" s="79" t="str">
        <x:v>CR-004已修订计划；未预填模拟成员评审签字或实际软件结果。</x:v>
      </x:c>
    </x:row>
    <x:row r="44" ht="28" customHeight="1">
      <x:c r="A44" s="60" t="str">
        <x:v>W1–W8逐周计划复核与证据登记</x:v>
      </x:c>
      <x:c r="B44" s="60" t="str">
        <x:v>W1–W8逐周计划复核与证据登记</x:v>
      </x:c>
      <x:c r="C44" s="60" t="str">
        <x:v>W1–W8逐周计划复核与证据登记</x:v>
      </x:c>
      <x:c r="D44" s="60" t="str">
        <x:v>W1–W8逐周计划复核与证据登记</x:v>
      </x:c>
      <x:c r="E44" s="60" t="str">
        <x:v>W1–W8逐周计划复核与证据登记</x:v>
      </x:c>
      <x:c r="F44" s="60" t="str">
        <x:v>W1–W8逐周计划复核与证据登记</x:v>
      </x:c>
      <x:c r="G44" s="60" t="str">
        <x:v>W1–W8逐周计划复核与证据登记</x:v>
      </x:c>
      <x:c r="H44" s="60" t="str">
        <x:v>W1–W8逐周计划复核与证据登记</x:v>
      </x:c>
      <x:c r="I44" s="60" t="str">
        <x:v>W1–W8逐周计划复核与证据登记</x:v>
      </x:c>
      <x:c r="J44" s="60" t="str">
        <x:v>W1–W8逐周计划复核与证据登记</x:v>
      </x:c>
      <x:c r="K44" s="60" t="str">
        <x:v>W1–W8逐周计划复核与证据登记</x:v>
      </x:c>
    </x:row>
    <x:row r="45" ht="44" customHeight="1">
      <x:c r="A45" s="63" t="str">
        <x:v>每轮为周一至周日7个自然日，沿用既定任务排期；W2/W4/W6/W8保留阶段重点复核。实际完成日期、结论、提交和变更编号只在发生后登记，不预填未来历史。</x:v>
      </x:c>
      <x:c r="B45" s="63" t="str">
        <x:v>每轮为周一至周日7个自然日，沿用既定任务排期；W2/W4/W6/W8保留阶段重点复核。实际完成日期、结论、提交和变更编号只在发生后登记，不预填未来历史。</x:v>
      </x:c>
      <x:c r="C45" s="63" t="str">
        <x:v>每轮为周一至周日7个自然日，沿用既定任务排期；W2/W4/W6/W8保留阶段重点复核。实际完成日期、结论、提交和变更编号只在发生后登记，不预填未来历史。</x:v>
      </x:c>
      <x:c r="D45" s="63" t="str">
        <x:v>每轮为周一至周日7个自然日，沿用既定任务排期；W2/W4/W6/W8保留阶段重点复核。实际完成日期、结论、提交和变更编号只在发生后登记，不预填未来历史。</x:v>
      </x:c>
      <x:c r="E45" s="63" t="str">
        <x:v>每轮为周一至周日7个自然日，沿用既定任务排期；W2/W4/W6/W8保留阶段重点复核。实际完成日期、结论、提交和变更编号只在发生后登记，不预填未来历史。</x:v>
      </x:c>
      <x:c r="F45" s="63" t="str">
        <x:v>每轮为周一至周日7个自然日，沿用既定任务排期；W2/W4/W6/W8保留阶段重点复核。实际完成日期、结论、提交和变更编号只在发生后登记，不预填未来历史。</x:v>
      </x:c>
      <x:c r="G45" s="63" t="str">
        <x:v>每轮为周一至周日7个自然日，沿用既定任务排期；W2/W4/W6/W8保留阶段重点复核。实际完成日期、结论、提交和变更编号只在发生后登记，不预填未来历史。</x:v>
      </x:c>
      <x:c r="H45" s="63" t="str">
        <x:v>每轮为周一至周日7个自然日，沿用既定任务排期；W2/W4/W6/W8保留阶段重点复核。实际完成日期、结论、提交和变更编号只在发生后登记，不预填未来历史。</x:v>
      </x:c>
      <x:c r="I45" s="63" t="str">
        <x:v>每轮为周一至周日7个自然日，沿用既定任务排期；W2/W4/W6/W8保留阶段重点复核。实际完成日期、结论、提交和变更编号只在发生后登记，不预填未来历史。</x:v>
      </x:c>
      <x:c r="J45" s="63" t="str">
        <x:v>每轮为周一至周日7个自然日，沿用既定任务排期；W2/W4/W6/W8保留阶段重点复核。实际完成日期、结论、提交和变更编号只在发生后登记，不预填未来历史。</x:v>
      </x:c>
      <x:c r="K45" s="63" t="str">
        <x:v>每轮为周一至周日7个自然日，沿用既定任务排期；W2/W4/W6/W8保留阶段重点复核。实际完成日期、结论、提交和变更编号只在发生后登记，不预填未来历史。</x:v>
      </x:c>
    </x:row>
    <x:row r="47" ht="54" customHeight="1">
      <x:c r="A47" s="60" t="str">
        <x:v>迭代</x:v>
      </x:c>
      <x:c r="B47" s="60" t="str">
        <x:v>计划窗口</x:v>
      </x:c>
      <x:c r="C47" s="60" t="str">
        <x:v>复核与细化重点</x:v>
      </x:c>
      <x:c r="D47" s="60" t="str">
        <x:v>预定产出</x:v>
      </x:c>
      <x:c r="E47" s="60" t="str">
        <x:v>责任角色</x:v>
      </x:c>
      <x:c r="F47" s="60" t="str">
        <x:v>实际完成日期</x:v>
      </x:c>
      <x:c r="G47" s="60" t="str">
        <x:v>实际复核结论</x:v>
      </x:c>
      <x:c r="H47" s="60" t="str">
        <x:v>版本／提交／证据</x:v>
      </x:c>
      <x:c r="I47" s="60" t="str">
        <x:v>关联CR</x:v>
      </x:c>
      <x:c r="J47" s="60" t="str">
        <x:v>转入周次</x:v>
      </x:c>
      <x:c r="K47" s="60" t="str">
        <x:v>遗留事项</x:v>
      </x:c>
    </x:row>
    <x:row r="48" ht="96" customHeight="1">
      <x:c r="A48" s="63" t="str">
        <x:v>W1</x:v>
      </x:c>
      <x:c r="B48" s="63" t="str">
        <x:v>2026-10-19 至 2026-10-25</x:v>
      </x:c>
      <x:c r="C48" s="63" t="str">
        <x:v>需求与验收映射、质量分工、测试设计和成本估算前提</x:v>
      </x:c>
      <x:c r="D48" s="63" t="str">
        <x:v>需求追踪、质量活动定义及基线记录</x:v>
      </x:c>
      <x:c r="E48" s="63" t="str">
        <x:v>R01维护；原分配成员提供证据</x:v>
      </x:c>
      <x:c r="F48" s="69"/>
      <x:c r="G48" s="63"/>
      <x:c r="H48" s="63"/>
      <x:c r="I48" s="63"/>
      <x:c r="J48" s="63"/>
      <x:c r="K48" s="63"/>
    </x:row>
    <x:row r="49" ht="96" customHeight="1">
      <x:c r="A49" s="63" t="str">
        <x:v>W2</x:v>
      </x:c>
      <x:c r="B49" s="63" t="str">
        <x:v>2026-10-26 至 2026-11-01</x:v>
      </x:c>
      <x:c r="C49" s="63" t="str">
        <x:v>设计接口交叉复核、外部输入、质量条件与储备缺口</x:v>
      </x:c>
      <x:c r="D49" s="63" t="str">
        <x:v>阶段重点复核及未具备条件清单</x:v>
      </x:c>
      <x:c r="E49" s="63" t="str">
        <x:v>R01维护；原分配成员提供证据</x:v>
      </x:c>
      <x:c r="F49" s="69"/>
      <x:c r="G49" s="63"/>
      <x:c r="H49" s="63"/>
      <x:c r="I49" s="63"/>
      <x:c r="J49" s="63"/>
      <x:c r="K49" s="63"/>
    </x:row>
    <x:row r="50" ht="96" customHeight="1">
      <x:c r="A50" s="63" t="str">
        <x:v>W3</x:v>
      </x:c>
      <x:c r="B50" s="63" t="str">
        <x:v>2026-11-02 至 2026-11-08</x:v>
      </x:c>
      <x:c r="C50" s="63" t="str">
        <x:v>模块编码规范、小批量集成及相关回归；复核剩余工作</x:v>
      </x:c>
      <x:c r="D50" s="63" t="str">
        <x:v>版本证据、过程不符合项及偏差原因</x:v>
      </x:c>
      <x:c r="E50" s="63" t="str">
        <x:v>R01维护；原分配成员提供证据</x:v>
      </x:c>
      <x:c r="F50" s="69"/>
      <x:c r="G50" s="63"/>
      <x:c r="H50" s="63"/>
      <x:c r="I50" s="63"/>
      <x:c r="J50" s="63"/>
      <x:c r="K50" s="63"/>
    </x:row>
    <x:row r="51" ht="96" customHeight="1">
      <x:c r="A51" s="63" t="str">
        <x:v>W4</x:v>
      </x:c>
      <x:c r="B51" s="63" t="str">
        <x:v>2026-11-09 至 2026-11-15</x:v>
      </x:c>
      <x:c r="C51" s="63" t="str">
        <x:v>主业务链与质量覆盖，复核累计成本及需求变更影响</x:v>
      </x:c>
      <x:c r="D51" s="63" t="str">
        <x:v>阶段评审记录、缺陷与受控修订</x:v>
      </x:c>
      <x:c r="E51" s="63" t="str">
        <x:v>R01维护；原分配成员提供证据</x:v>
      </x:c>
      <x:c r="F51" s="69"/>
      <x:c r="G51" s="63"/>
      <x:c r="H51" s="63"/>
      <x:c r="I51" s="63"/>
      <x:c r="J51" s="63"/>
      <x:c r="K51" s="63"/>
    </x:row>
    <x:row r="52" ht="96" customHeight="1">
      <x:c r="A52" s="63" t="str">
        <x:v>W5</x:v>
      </x:c>
      <x:c r="B52" s="63" t="str">
        <x:v>2026-11-16 至 2026-11-22</x:v>
      </x:c>
      <x:c r="C52" s="63" t="str">
        <x:v>模块集成、MOCK/REAL边界、剩余验证工作和依赖</x:v>
      </x:c>
      <x:c r="D52" s="63" t="str">
        <x:v>集成证据、待验证项及风险说明</x:v>
      </x:c>
      <x:c r="E52" s="63" t="str">
        <x:v>R01维护；原分配成员提供证据</x:v>
      </x:c>
      <x:c r="F52" s="69"/>
      <x:c r="G52" s="63"/>
      <x:c r="H52" s="63"/>
      <x:c r="I52" s="63"/>
      <x:c r="J52" s="63"/>
      <x:c r="K52" s="63"/>
    </x:row>
    <x:row r="53" ht="96" customHeight="1">
      <x:c r="A53" s="63" t="str">
        <x:v>W6</x:v>
      </x:c>
      <x:c r="B53" s="63" t="str">
        <x:v>2026-11-23 至 2026-11-29</x:v>
      </x:c>
      <x:c r="C53" s="63" t="str">
        <x:v>功能/性能/安全/兼容验证安排及质量费用，核对真实输入</x:v>
      </x:c>
      <x:c r="D53" s="63" t="str">
        <x:v>阶段重点复核、验证证据及成本预测</x:v>
      </x:c>
      <x:c r="E53" s="63" t="str">
        <x:v>R01维护；原分配成员提供证据</x:v>
      </x:c>
      <x:c r="F53" s="69"/>
      <x:c r="G53" s="63"/>
      <x:c r="H53" s="63"/>
      <x:c r="I53" s="63"/>
      <x:c r="J53" s="63"/>
      <x:c r="K53" s="63"/>
    </x:row>
    <x:row r="54" ht="96" customHeight="1">
      <x:c r="A54" s="63" t="str">
        <x:v>W7</x:v>
      </x:c>
      <x:c r="B54" s="63" t="str">
        <x:v>2026-11-30 至 2026-12-06</x:v>
      </x:c>
      <x:c r="C54" s="63" t="str">
        <x:v>缺陷修复与非作者复测，72小时和恢复证据，交付准备</x:v>
      </x:c>
      <x:c r="D54" s="63" t="str">
        <x:v>缺陷闭环、回归及偏差处理记录</x:v>
      </x:c>
      <x:c r="E54" s="63" t="str">
        <x:v>R01维护；原分配成员提供证据</x:v>
      </x:c>
      <x:c r="F54" s="69"/>
      <x:c r="G54" s="63"/>
      <x:c r="H54" s="63"/>
      <x:c r="I54" s="63"/>
      <x:c r="J54" s="63"/>
      <x:c r="K54" s="63"/>
    </x:row>
    <x:row r="55" ht="96" customHeight="1">
      <x:c r="A55" s="63" t="str">
        <x:v>W8</x:v>
      </x:c>
      <x:c r="B55" s="63" t="str">
        <x:v>2026-12-07 至 2026-12-13</x:v>
      </x:c>
      <x:c r="C55" s="63" t="str">
        <x:v>需求证据、交付门槛及真实历史；核对未完成项</x:v>
      </x:c>
      <x:c r="D55" s="63" t="str">
        <x:v>最终计划、变更单及历史截图；未完成项如实登记</x:v>
      </x:c>
      <x:c r="E55" s="63" t="str">
        <x:v>R01维护；原分配成员提供证据</x:v>
      </x:c>
      <x:c r="F55" s="69"/>
      <x:c r="G55" s="63"/>
      <x:c r="H55" s="63"/>
      <x:c r="I55" s="63"/>
      <x:c r="J55" s="63"/>
      <x:c r="K55" s="63"/>
    </x:row>
    <x:row r="57" ht="44" customHeight="1">
      <x:c r="A57" s="63" t="str">
        <x:v>每轮保存可审阅的真实修改及其影响；形成受控基线修订时同步提交变更单源与PDF、两种计划及版本记录。无基线变化时记录实际复核结论即可，不为凑版本制造CR。</x:v>
      </x:c>
      <x:c r="B57" s="63" t="str">
        <x:v>每轮保存可审阅的真实修改及其影响；形成受控基线修订时同步提交变更单源与PDF、两种计划及版本记录。无基线变化时记录实际复核结论即可，不为凑版本制造CR。</x:v>
      </x:c>
      <x:c r="C57" s="63" t="str">
        <x:v>每轮保存可审阅的真实修改及其影响；形成受控基线修订时同步提交变更单源与PDF、两种计划及版本记录。无基线变化时记录实际复核结论即可，不为凑版本制造CR。</x:v>
      </x:c>
      <x:c r="D57" s="63" t="str">
        <x:v>每轮保存可审阅的真实修改及其影响；形成受控基线修订时同步提交变更单源与PDF、两种计划及版本记录。无基线变化时记录实际复核结论即可，不为凑版本制造CR。</x:v>
      </x:c>
      <x:c r="E57" s="63" t="str">
        <x:v>每轮保存可审阅的真实修改及其影响；形成受控基线修订时同步提交变更单源与PDF、两种计划及版本记录。无基线变化时记录实际复核结论即可，不为凑版本制造CR。</x:v>
      </x:c>
      <x:c r="F57" s="63" t="str">
        <x:v>每轮保存可审阅的真实修改及其影响；形成受控基线修订时同步提交变更单源与PDF、两种计划及版本记录。无基线变化时记录实际复核结论即可，不为凑版本制造CR。</x:v>
      </x:c>
      <x:c r="G57" s="63" t="str">
        <x:v>每轮保存可审阅的真实修改及其影响；形成受控基线修订时同步提交变更单源与PDF、两种计划及版本记录。无基线变化时记录实际复核结论即可，不为凑版本制造CR。</x:v>
      </x:c>
      <x:c r="H57" s="63" t="str">
        <x:v>每轮保存可审阅的真实修改及其影响；形成受控基线修订时同步提交变更单源与PDF、两种计划及版本记录。无基线变化时记录实际复核结论即可，不为凑版本制造CR。</x:v>
      </x:c>
      <x:c r="I57" s="63" t="str">
        <x:v>每轮保存可审阅的真实修改及其影响；形成受控基线修订时同步提交变更单源与PDF、两种计划及版本记录。无基线变化时记录实际复核结论即可，不为凑版本制造CR。</x:v>
      </x:c>
      <x:c r="J57" s="63" t="str">
        <x:v>每轮保存可审阅的真实修改及其影响；形成受控基线修订时同步提交变更单源与PDF、两种计划及版本记录。无基线变化时记录实际复核结论即可，不为凑版本制造CR。</x:v>
      </x:c>
      <x:c r="K57" s="63" t="str">
        <x:v>每轮保存可审阅的真实修改及其影响；形成受控基线修订时同步提交变更单源与PDF、两种计划及版本记录。无基线变化时记录实际复核结论即可，不为凑版本制造CR。</x:v>
      </x:c>
    </x:row>
    <x:row r="58" ht="44" customHeight="1">
      <x:c r="A58" s="63" t="str">
        <x:v>未完成事项如实登记原因、影响和转入周次；不延长本轮7日窗口、不倒签时间。最终提交计划终版、变更申请单和真实提交历史截图，平台及格式以正式通知为准。</x:v>
      </x:c>
      <x:c r="B58" s="63" t="str">
        <x:v>未完成事项如实登记原因、影响和转入周次；不延长本轮7日窗口、不倒签时间。最终提交计划终版、变更申请单和真实提交历史截图，平台及格式以正式通知为准。</x:v>
      </x:c>
      <x:c r="C58" s="63" t="str">
        <x:v>未完成事项如实登记原因、影响和转入周次；不延长本轮7日窗口、不倒签时间。最终提交计划终版、变更申请单和真实提交历史截图，平台及格式以正式通知为准。</x:v>
      </x:c>
      <x:c r="D58" s="63" t="str">
        <x:v>未完成事项如实登记原因、影响和转入周次；不延长本轮7日窗口、不倒签时间。最终提交计划终版、变更申请单和真实提交历史截图，平台及格式以正式通知为准。</x:v>
      </x:c>
      <x:c r="E58" s="63" t="str">
        <x:v>未完成事项如实登记原因、影响和转入周次；不延长本轮7日窗口、不倒签时间。最终提交计划终版、变更申请单和真实提交历史截图，平台及格式以正式通知为准。</x:v>
      </x:c>
      <x:c r="F58" s="63" t="str">
        <x:v>未完成事项如实登记原因、影响和转入周次；不延长本轮7日窗口、不倒签时间。最终提交计划终版、变更申请单和真实提交历史截图，平台及格式以正式通知为准。</x:v>
      </x:c>
      <x:c r="G58" s="63" t="str">
        <x:v>未完成事项如实登记原因、影响和转入周次；不延长本轮7日窗口、不倒签时间。最终提交计划终版、变更申请单和真实提交历史截图，平台及格式以正式通知为准。</x:v>
      </x:c>
      <x:c r="H58" s="63" t="str">
        <x:v>未完成事项如实登记原因、影响和转入周次；不延长本轮7日窗口、不倒签时间。最终提交计划终版、变更申请单和真实提交历史截图，平台及格式以正式通知为准。</x:v>
      </x:c>
      <x:c r="I58" s="63" t="str">
        <x:v>未完成事项如实登记原因、影响和转入周次；不延长本轮7日窗口、不倒签时间。最终提交计划终版、变更申请单和真实提交历史截图，平台及格式以正式通知为准。</x:v>
      </x:c>
      <x:c r="J58" s="63" t="str">
        <x:v>未完成事项如实登记原因、影响和转入周次；不延长本轮7日窗口、不倒签时间。最终提交计划终版、变更申请单和真实提交历史截图，平台及格式以正式通知为准。</x:v>
      </x:c>
      <x:c r="K58" s="63" t="str">
        <x:v>未完成事项如实登记原因、影响和转入周次；不延长本轮7日窗口、不倒签时间。最终提交计划终版、变更申请单和真实提交历史截图，平台及格式以正式通知为准。</x:v>
      </x:c>
    </x:row>
    <x:row r="59" ht="44" customHeight="1">
      <x:c r="A59" s="63" t="str">
        <x:v>PV／AC／EV及偏差控制详见成本预算；识别的风险响应先使用已安排的防范工作与可用容量，独立应急储备金额待评估，不能直接以C14管理储备作资金承诺。</x:v>
      </x:c>
      <x:c r="B59" s="63" t="str">
        <x:v>PV／AC／EV及偏差控制详见成本预算；识别的风险响应先使用已安排的防范工作与可用容量，独立应急储备金额待评估，不能直接以C14管理储备作资金承诺。</x:v>
      </x:c>
      <x:c r="C59" s="63" t="str">
        <x:v>PV／AC／EV及偏差控制详见成本预算；识别的风险响应先使用已安排的防范工作与可用容量，独立应急储备金额待评估，不能直接以C14管理储备作资金承诺。</x:v>
      </x:c>
      <x:c r="D59" s="63" t="str">
        <x:v>PV／AC／EV及偏差控制详见成本预算；识别的风险响应先使用已安排的防范工作与可用容量，独立应急储备金额待评估，不能直接以C14管理储备作资金承诺。</x:v>
      </x:c>
      <x:c r="E59" s="63" t="str">
        <x:v>PV／AC／EV及偏差控制详见成本预算；识别的风险响应先使用已安排的防范工作与可用容量，独立应急储备金额待评估，不能直接以C14管理储备作资金承诺。</x:v>
      </x:c>
      <x:c r="F59" s="63" t="str">
        <x:v>PV／AC／EV及偏差控制详见成本预算；识别的风险响应先使用已安排的防范工作与可用容量，独立应急储备金额待评估，不能直接以C14管理储备作资金承诺。</x:v>
      </x:c>
      <x:c r="G59" s="63" t="str">
        <x:v>PV／AC／EV及偏差控制详见成本预算；识别的风险响应先使用已安排的防范工作与可用容量，独立应急储备金额待评估，不能直接以C14管理储备作资金承诺。</x:v>
      </x:c>
      <x:c r="H59" s="63" t="str">
        <x:v>PV／AC／EV及偏差控制详见成本预算；识别的风险响应先使用已安排的防范工作与可用容量，独立应急储备金额待评估，不能直接以C14管理储备作资金承诺。</x:v>
      </x:c>
      <x:c r="I59" s="63" t="str">
        <x:v>PV／AC／EV及偏差控制详见成本预算；识别的风险响应先使用已安排的防范工作与可用容量，独立应急储备金额待评估，不能直接以C14管理储备作资金承诺。</x:v>
      </x:c>
      <x:c r="J59" s="63" t="str">
        <x:v>PV／AC／EV及偏差控制详见成本预算；识别的风险响应先使用已安排的防范工作与可用容量，独立应急储备金额待评估，不能直接以C14管理储备作资金承诺。</x:v>
      </x:c>
      <x:c r="K59" s="63" t="str">
        <x:v>PV／AC／EV及偏差控制详见成本预算；识别的风险响应先使用已安排的防范工作与可用容量，独立应急储备金额待评估，不能直接以C14管理储备作资金承诺。</x:v>
      </x:c>
    </x:row>
    <x:row r="62" ht="28" customHeight="1">
      <x:c r="A62" s="86" t="str">
        <x:v>全过程质量活动（纳入既有任务）</x:v>
      </x:c>
      <x:c r="B62" s="86" t="str">
        <x:v>全过程质量活动（纳入既有任务）</x:v>
      </x:c>
      <x:c r="C62" s="86" t="str">
        <x:v>全过程质量活动（纳入既有任务）</x:v>
      </x:c>
      <x:c r="D62" s="86" t="str">
        <x:v>全过程质量活动（纳入既有任务）</x:v>
      </x:c>
      <x:c r="E62" s="86" t="str">
        <x:v>全过程质量活动（纳入既有任务）</x:v>
      </x:c>
      <x:c r="F62" s="86" t="str">
        <x:v>全过程质量活动（纳入既有任务）</x:v>
      </x:c>
      <x:c r="G62" s="86" t="str">
        <x:v>全过程质量活动（纳入既有任务）</x:v>
      </x:c>
      <x:c r="H62" s="86" t="str">
        <x:v>全过程质量活动（纳入既有任务）</x:v>
      </x:c>
      <x:c r="I62" s="86" t="str">
        <x:v>全过程质量活动（纳入既有任务）</x:v>
      </x:c>
      <x:c r="J62" s="86" t="str">
        <x:v>全过程质量活动（纳入既有任务）</x:v>
      </x:c>
      <x:c r="K62" s="86" t="str">
        <x:v>全过程质量活动（纳入既有任务）</x:v>
      </x:c>
    </x:row>
    <x:row r="63" ht="44" customHeight="1">
      <x:c r="A63" s="79" t="str">
        <x:v>质量保证检查过程和规范，质量控制检查具体成果。以下活动细化既有工作，不增加任务或投入；计划日期由原任务引用，实际日期、结论和证据在发生后登记。</x:v>
      </x:c>
      <x:c r="B63" s="79" t="str">
        <x:v>质量保证检查过程和规范，质量控制检查具体成果。以下活动细化既有工作，不增加任务或投入；计划日期由原任务引用，实际日期、结论和证据在发生后登记。</x:v>
      </x:c>
      <x:c r="C63" s="79" t="str">
        <x:v>质量保证检查过程和规范，质量控制检查具体成果。以下活动细化既有工作，不增加任务或投入；计划日期由原任务引用，实际日期、结论和证据在发生后登记。</x:v>
      </x:c>
      <x:c r="D63" s="79" t="str">
        <x:v>质量保证检查过程和规范，质量控制检查具体成果。以下活动细化既有工作，不增加任务或投入；计划日期由原任务引用，实际日期、结论和证据在发生后登记。</x:v>
      </x:c>
      <x:c r="E63" s="79" t="str">
        <x:v>质量保证检查过程和规范，质量控制检查具体成果。以下活动细化既有工作，不增加任务或投入；计划日期由原任务引用，实际日期、结论和证据在发生后登记。</x:v>
      </x:c>
      <x:c r="F63" s="79" t="str">
        <x:v>质量保证检查过程和规范，质量控制检查具体成果。以下活动细化既有工作，不增加任务或投入；计划日期由原任务引用，实际日期、结论和证据在发生后登记。</x:v>
      </x:c>
      <x:c r="G63" s="79" t="str">
        <x:v>质量保证检查过程和规范，质量控制检查具体成果。以下活动细化既有工作，不增加任务或投入；计划日期由原任务引用，实际日期、结论和证据在发生后登记。</x:v>
      </x:c>
      <x:c r="H63" s="79" t="str">
        <x:v>质量保证检查过程和规范，质量控制检查具体成果。以下活动细化既有工作，不增加任务或投入；计划日期由原任务引用，实际日期、结论和证据在发生后登记。</x:v>
      </x:c>
      <x:c r="I63" s="79" t="str">
        <x:v>质量保证检查过程和规范，质量控制检查具体成果。以下活动细化既有工作，不增加任务或投入；计划日期由原任务引用，实际日期、结论和证据在发生后登记。</x:v>
      </x:c>
      <x:c r="J63" s="79" t="str">
        <x:v>质量保证检查过程和规范，质量控制检查具体成果。以下活动细化既有工作，不增加任务或投入；计划日期由原任务引用，实际日期、结论和证据在发生后登记。</x:v>
      </x:c>
      <x:c r="K63" s="79" t="str">
        <x:v>质量保证检查过程和规范，质量控制检查具体成果。以下活动细化既有工作，不增加任务或投入；计划日期由原任务引用，实际日期、结论和证据在发生后登记。</x:v>
      </x:c>
    </x:row>
    <x:row r="65" ht="50" customHeight="1">
      <x:c r="A65" s="86" t="str">
        <x:v>编号</x:v>
      </x:c>
      <x:c r="B65" s="86" t="str">
        <x:v>活动与类别</x:v>
      </x:c>
      <x:c r="C65" s="86" t="str">
        <x:v>执行标准</x:v>
      </x:c>
      <x:c r="D65" s="86" t="str">
        <x:v>依据</x:v>
      </x:c>
      <x:c r="E65" s="86" t="str">
        <x:v>对应任务</x:v>
      </x:c>
      <x:c r="F65" s="86" t="str">
        <x:v>责任与复核</x:v>
      </x:c>
      <x:c r="G65" s="86" t="str">
        <x:v>实际日期/结果/证据</x:v>
      </x:c>
      <x:c r="H65" s="86" t="str">
        <x:v>预定输出及条件</x:v>
      </x:c>
      <x:c r="I65" s="86" t="str">
        <x:v>计划开始</x:v>
      </x:c>
      <x:c r="J65" s="86" t="str">
        <x:v>计划结束</x:v>
      </x:c>
      <x:c r="K65" s="86" t="str">
        <x:v>实施方法</x:v>
      </x:c>
    </x:row>
    <x:row r="66" ht="88" customHeight="1">
      <x:c r="A66" s="79" t="str">
        <x:v>QA01</x:v>
      </x:c>
      <x:c r="B66" s="79" t="str">
        <x:v>质量保证：需求追踪与澄清</x:v>
      </x:c>
      <x:c r="C66" s="79" t="str">
        <x:v>FR/NFR/IF逐项关联WBS、AC及已知边界；歧义登记并澄清，不以笼统表述代替可执行要求。</x:v>
      </x:c>
      <x:c r="D66" s="79" t="str">
        <x:v>SRS第3–7、9–10章</x:v>
      </x:c>
      <x:c r="E66" s="79" t="str">
        <x:v>T1.1</x:v>
      </x:c>
      <x:c r="F66" s="79" t="str">
        <x:v>R01编制；R04交叉复核</x:v>
      </x:c>
      <x:c r="G66" s="79"/>
      <x:c r="H66" s="79" t="str">
        <x:v>需求映射、歧义及决定记录；实际确认人和结论留空。</x:v>
      </x:c>
      <x:c r="I66" s="80" t="n">
        <x:f>MIN('任务与甘特'!T7)</x:f>
        <x:v>46314</x:v>
      </x:c>
      <x:c r="J66" s="80" t="n">
        <x:f>MAX('任务与甘特'!U7)</x:f>
        <x:v>46314</x:v>
      </x:c>
      <x:c r="K66" s="79" t="str">
        <x:v>核对当前需求版本、业务状态、权限和指标含义，记录不符合项。</x:v>
      </x:c>
    </x:row>
    <x:row r="67" ht="88" customHeight="1">
      <x:c r="A67" s="79" t="str">
        <x:v>QA02</x:v>
      </x:c>
      <x:c r="B67" s="79" t="str">
        <x:v>质量保证：测试设计及标准交底</x:v>
      </x:c>
      <x:c r="C67" s="79" t="str">
        <x:v>测试大纲覆盖既定AC的正常、异常、边界及非功能场景；必需用例、环境和数据口径明确。</x:v>
      </x:c>
      <x:c r="D67" s="79" t="str">
        <x:v>SRS第9章；Q01–Q16</x:v>
      </x:c>
      <x:c r="E67" s="79" t="str">
        <x:v>T1.3</x:v>
      </x:c>
      <x:c r="F67" s="79" t="str">
        <x:v>R04编制；R01交叉复核</x:v>
      </x:c>
      <x:c r="G67" s="79"/>
      <x:c r="H67" s="79" t="str">
        <x:v>测试大纲、合成数据和预期结果；未执行不填通过。</x:v>
      </x:c>
      <x:c r="I67" s="80" t="n">
        <x:f>MIN('任务与甘特'!T9)</x:f>
        <x:v>46315</x:v>
      </x:c>
      <x:c r="J67" s="80" t="n">
        <x:f>MAX('任务与甘特'!U9)</x:f>
        <x:v>46317</x:v>
      </x:c>
      <x:c r="K67" s="79" t="str">
        <x:v>在实现前明确验收方法；在原测试设计投入内统一缺陷、证据和复测规则。</x:v>
      </x:c>
    </x:row>
    <x:row r="68" ht="88" customHeight="1">
      <x:c r="A68" s="79" t="str">
        <x:v>QA03</x:v>
      </x:c>
      <x:c r="B68" s="79" t="str">
        <x:v>质量保证：设计交叉复核</x:v>
      </x:c>
      <x:c r="C68" s="79" t="str">
        <x:v>架构、数据、状态、接口相互一致；核对权限、事务、分页、负载及外部协议前提。</x:v>
      </x:c>
      <x:c r="D68" s="79" t="str">
        <x:v>FR/NFR/IF对应设计</x:v>
      </x:c>
      <x:c r="E68" s="79" t="str">
        <x:v>T2.1–T2.4</x:v>
      </x:c>
      <x:c r="F68" s="79" t="str">
        <x:v>按原责任及分配互核</x:v>
      </x:c>
      <x:c r="G68" s="79"/>
      <x:c r="H68" s="79" t="str">
        <x:v>设计版本、评审标注与问题处理；外部协议缺失保持未确认。</x:v>
      </x:c>
      <x:c r="I68" s="80" t="n">
        <x:f>MIN('任务与甘特'!T10,'任务与甘特'!T11,'任务与甘特'!T12,'任务与甘特'!T13)</x:f>
        <x:v>46315</x:v>
      </x:c>
      <x:c r="J68" s="80" t="n">
        <x:f>MAX('任务与甘特'!U10,'任务与甘特'!U11,'任务与甘特'!U12,'任务与甘特'!U13)</x:f>
        <x:v>46323</x:v>
      </x:c>
      <x:c r="K68" s="79" t="str">
        <x:v>按资源计划责任矩阵安排非作者复核；需求或契约变化先评估CR。</x:v>
      </x:c>
    </x:row>
    <x:row r="69" ht="88" customHeight="1">
      <x:c r="A69" s="79" t="str">
        <x:v>QA04</x:v>
      </x:c>
      <x:c r="B69" s="79" t="str">
        <x:v>质量保证：开发与集成过程</x:v>
      </x:c>
      <x:c r="C69" s="79" t="str">
        <x:v>按既定接口小批量提交、集成并验证相关场景；代码或文档复核记录具体版本和问题。</x:v>
      </x:c>
      <x:c r="D69" s="79" t="str">
        <x:v>SRS；既定开发规范</x:v>
      </x:c>
      <x:c r="E69" s="79" t="str">
        <x:v>T3.1–T3.19</x:v>
      </x:c>
      <x:c r="F69" s="79" t="str">
        <x:v>原任务负责人及参与者</x:v>
      </x:c>
      <x:c r="G69" s="79"/>
      <x:c r="H69" s="79" t="str">
        <x:v>可审阅提交、交叉复核和相关验证证据；不预置未来提交。</x:v>
      </x:c>
      <x:c r="I69" s="80" t="n">
        <x:f>MIN('任务与甘特'!T15,'任务与甘特'!T16,'任务与甘特'!T17,'任务与甘特'!T18,'任务与甘特'!T19,'任务与甘特'!T20,'任务与甘特'!T21,'任务与甘特'!T22,'任务与甘特'!T23,'任务与甘特'!T24,'任务与甘特'!T25,'任务与甘特'!T26,'任务与甘特'!T27,'任务与甘特'!T28,'任务与甘特'!T29,'任务与甘特'!T30,'任务与甘特'!T31,'任务与甘特'!T32,'任务与甘特'!T33)</x:f>
        <x:v>46318</x:v>
      </x:c>
      <x:c r="J69" s="80" t="n">
        <x:f>MAX('任务与甘特'!U15,'任务与甘特'!U16,'任务与甘特'!U17,'任务与甘特'!U18,'任务与甘特'!U19,'任务与甘特'!U20,'任务与甘特'!U21,'任务与甘特'!U22,'任务与甘特'!U23,'任务与甘特'!U24,'任务与甘特'!U25,'任务与甘特'!U26,'任务与甘特'!U27,'任务与甘特'!U28,'任务与甘特'!U29,'任务与甘特'!U30,'任务与甘特'!U31,'任务与甘特'!U32,'任务与甘特'!U33)</x:f>
        <x:v>46345</x:v>
      </x:c>
      <x:c r="K69" s="79" t="str">
        <x:v>在现有开发分配内复核输入、鉴权、状态、分页和错误处理，记录验证范围与结果。</x:v>
      </x:c>
    </x:row>
    <x:row r="70" ht="88" customHeight="1">
      <x:c r="A70" s="79" t="str">
        <x:v>QC01</x:v>
      </x:c>
      <x:c r="B70" s="79" t="str">
        <x:v>质量控制：阶段成果评审</x:v>
      </x:c>
      <x:c r="C70" s="79" t="str">
        <x:v>主业务链可对照既定AC演示；集成边界、失败路径和遗留缺陷明确，逐项记录达标情况。</x:v>
      </x:c>
      <x:c r="D70" s="79" t="str">
        <x:v>SRS；Q01–Q16</x:v>
      </x:c>
      <x:c r="E70" s="79" t="str">
        <x:v>T4.1/T4.2</x:v>
      </x:c>
      <x:c r="F70" s="79" t="str">
        <x:v>R01/R02主责；R04复核</x:v>
      </x:c>
      <x:c r="G70" s="79"/>
      <x:c r="H70" s="79" t="str">
        <x:v>阶段版本、预期/实际结果、未通过项及处置。</x:v>
      </x:c>
      <x:c r="I70" s="80" t="n">
        <x:f>MIN('任务与甘特'!T34,'任务与甘特'!T35)</x:f>
        <x:v>46346</x:v>
      </x:c>
      <x:c r="J70" s="80" t="n">
        <x:f>MAX('任务与甘特'!U34,'任务与甘特'!U35)</x:f>
        <x:v>46350</x:v>
      </x:c>
      <x:c r="K70" s="79" t="str">
        <x:v>检查成果是否满足标准；不以过程文档齐全代替业务结果。</x:v>
      </x:c>
    </x:row>
    <x:row r="71" ht="88" customHeight="1">
      <x:c r="A71" s="79" t="str">
        <x:v>QC02</x:v>
      </x:c>
      <x:c r="B71" s="79" t="str">
        <x:v>质量控制：修复与复测闭环</x:v>
      </x:c>
      <x:c r="C71" s="79" t="str">
        <x:v>执行既定测试，发现问题后分级、定位、修复、非作者复测；不合格项关闭或记录影响。</x:v>
      </x:c>
      <x:c r="D71" s="79" t="str">
        <x:v>SRS 9.4；Q01–Q16</x:v>
      </x:c>
      <x:c r="E71" s="79" t="str">
        <x:v>T4.3–T4.10/T5.2</x:v>
      </x:c>
      <x:c r="F71" s="79" t="str">
        <x:v>原测试/修复责任人</x:v>
      </x:c>
      <x:c r="G71" s="79"/>
      <x:c r="H71" s="79" t="str">
        <x:v>缺陷号、关联AC、修复版本、复测人与结果；真实接收证据单列。</x:v>
      </x:c>
      <x:c r="I71" s="80" t="n">
        <x:f>MIN('任务与甘特'!T36,'任务与甘特'!T37,'任务与甘特'!T38,'任务与甘特'!T39,'任务与甘特'!T40,'任务与甘特'!T41,'任务与甘特'!T42,'任务与甘特'!T43,'任务与甘特'!T45)</x:f>
        <x:v>46343</x:v>
      </x:c>
      <x:c r="J71" s="80" t="n">
        <x:f>MAX('任务与甘特'!U36,'任务与甘特'!U37,'任务与甘特'!U38,'任务与甘特'!U39,'任务与甘特'!U40,'任务与甘特'!U41,'任务与甘特'!U42,'任务与甘特'!U43,'任务与甘特'!U45)</x:f>
        <x:v>46365</x:v>
      </x:c>
      <x:c r="K71" s="79" t="str">
        <x:v>阻断严重功能缺陷及严重高危漏洞按原门槛控制；未通过不标记全部验收完成。</x:v>
      </x:c>
    </x:row>
    <x:row r="72" ht="88" customHeight="1">
      <x:c r="A72" s="79" t="str">
        <x:v>QA05</x:v>
      </x:c>
      <x:c r="B72" s="79" t="str">
        <x:v>质量保证：配置与文档审计</x:v>
      </x:c>
      <x:c r="C72" s="79" t="str">
        <x:v>当前源、导出和交付版本可对应；基线修订有CR、影响及真实提交证据；文件按用途收纳。</x:v>
      </x:c>
      <x:c r="D72" s="79" t="str">
        <x:v>配置管理及交付规范</x:v>
      </x:c>
      <x:c r="E72" s="79" t="str">
        <x:v>T2.5/T5.3/T5.5/T5.7</x:v>
      </x:c>
      <x:c r="F72" s="79" t="str">
        <x:v>R01维护；原评审任务互核</x:v>
      </x:c>
      <x:c r="G72" s="79"/>
      <x:c r="H72" s="79" t="str">
        <x:v>版本映射、变更单、真实历史和交付证据索引。</x:v>
      </x:c>
      <x:c r="I72" s="80" t="n">
        <x:f>MIN('任务与甘特'!T14,'任务与甘特'!T46,'任务与甘特'!T48,'任务与甘特'!T50)</x:f>
        <x:v>46317</x:v>
      </x:c>
      <x:c r="J72" s="80" t="n">
        <x:f>MAX('任务与甘特'!U14,'任务与甘特'!U46,'任务与甘特'!U48,'任务与甘特'!U50)</x:f>
        <x:v>46367</x:v>
      </x:c>
      <x:c r="K72" s="79" t="str">
        <x:v>T2.5日常登记由R01承担；R04仅在已有分配的评审任务内核对，不另计人时。</x:v>
      </x:c>
    </x:row>
    <x:row r="73" ht="88" customHeight="1">
      <x:c r="A73" s="79" t="str">
        <x:v>QA06</x:v>
      </x:c>
      <x:c r="B73" s="79" t="str">
        <x:v>质量保证：复核与改进</x:v>
      </x:c>
      <x:c r="C73" s="79" t="str">
        <x:v>每轮核对质量活动及不符合项原因，明确纠正措施、责任、期限和转入轮次；检查措施效果。</x:v>
      </x:c>
      <x:c r="D73" s="79" t="str">
        <x:v>W1–W8维护规则</x:v>
      </x:c>
      <x:c r="E73" s="79" t="str">
        <x:v>T1.2/T2.5/T4.1/T5.7</x:v>
      </x:c>
      <x:c r="F73" s="79" t="str">
        <x:v>R01组织；原分配成员参与</x:v>
      </x:c>
      <x:c r="G73" s="79"/>
      <x:c r="H73" s="79" t="str">
        <x:v>周复核、根因及改进措施；实际复核日期和效果留空。</x:v>
      </x:c>
      <x:c r="I73" s="80" t="n">
        <x:f>MIN('任务与甘特'!T8,'任务与甘特'!T14,'任务与甘特'!T34,'任务与甘特'!T50)</x:f>
        <x:v>46315</x:v>
      </x:c>
      <x:c r="J73" s="80" t="n">
        <x:f>MAX('任务与甘特'!U8,'任务与甘特'!U14,'任务与甘特'!U34,'任务与甘特'!U50)</x:f>
        <x:v>46367</x:v>
      </x:c>
      <x:c r="K73" s="79" t="str">
        <x:v>在既有计划维护与阶段评审内完成；影响范围、资源、日期、费用或验收基线时办理CR。</x:v>
      </x:c>
    </x:row>
    <x:row r="75" ht="48" customHeight="1">
      <x:c r="A75" s="79" t="str">
        <x:v>四人兼岗采用成果层面的非作者交叉复核。R04参与编码或部署时，其产物由其他已分配成员复核；无合格复核人时登记未复核并由R01评估影响。实际签字不代填，不认定已建立独立质量部门。</x:v>
      </x:c>
      <x:c r="B75" s="79" t="str">
        <x:v>四人兼岗采用成果层面的非作者交叉复核。R04参与编码或部署时，其产物由其他已分配成员复核；无合格复核人时登记未复核并由R01评估影响。实际签字不代填，不认定已建立独立质量部门。</x:v>
      </x:c>
      <x:c r="C75" s="79" t="str">
        <x:v>四人兼岗采用成果层面的非作者交叉复核。R04参与编码或部署时，其产物由其他已分配成员复核；无合格复核人时登记未复核并由R01评估影响。实际签字不代填，不认定已建立独立质量部门。</x:v>
      </x:c>
      <x:c r="D75" s="79" t="str">
        <x:v>四人兼岗采用成果层面的非作者交叉复核。R04参与编码或部署时，其产物由其他已分配成员复核；无合格复核人时登记未复核并由R01评估影响。实际签字不代填，不认定已建立独立质量部门。</x:v>
      </x:c>
      <x:c r="E75" s="79" t="str">
        <x:v>四人兼岗采用成果层面的非作者交叉复核。R04参与编码或部署时，其产物由其他已分配成员复核；无合格复核人时登记未复核并由R01评估影响。实际签字不代填，不认定已建立独立质量部门。</x:v>
      </x:c>
      <x:c r="F75" s="79" t="str">
        <x:v>四人兼岗采用成果层面的非作者交叉复核。R04参与编码或部署时，其产物由其他已分配成员复核；无合格复核人时登记未复核并由R01评估影响。实际签字不代填，不认定已建立独立质量部门。</x:v>
      </x:c>
      <x:c r="G75" s="79" t="str">
        <x:v>四人兼岗采用成果层面的非作者交叉复核。R04参与编码或部署时，其产物由其他已分配成员复核；无合格复核人时登记未复核并由R01评估影响。实际签字不代填，不认定已建立独立质量部门。</x:v>
      </x:c>
      <x:c r="H75" s="79" t="str">
        <x:v>四人兼岗采用成果层面的非作者交叉复核。R04参与编码或部署时，其产物由其他已分配成员复核；无合格复核人时登记未复核并由R01评估影响。实际签字不代填，不认定已建立独立质量部门。</x:v>
      </x:c>
      <x:c r="I75" s="79" t="str">
        <x:v>四人兼岗采用成果层面的非作者交叉复核。R04参与编码或部署时，其产物由其他已分配成员复核；无合格复核人时登记未复核并由R01评估影响。实际签字不代填，不认定已建立独立质量部门。</x:v>
      </x:c>
      <x:c r="J75" s="79" t="str">
        <x:v>四人兼岗采用成果层面的非作者交叉复核。R04参与编码或部署时，其产物由其他已分配成员复核；无合格复核人时登记未复核并由R01评估影响。实际签字不代填，不认定已建立独立质量部门。</x:v>
      </x:c>
      <x:c r="K75" s="79" t="str">
        <x:v>四人兼岗采用成果层面的非作者交叉复核。R04参与编码或部署时，其产物由其他已分配成员复核；无合格复核人时登记未复核并由R01评估影响。实际签字不代填，不认定已建立独立质量部门。</x:v>
      </x:c>
    </x:row>
    <x:row r="78" ht="28" customHeight="1">
      <x:c r="A78" s="86" t="str">
        <x:v>质量度量与执行记录（实际值留空）</x:v>
      </x:c>
      <x:c r="B78" s="86" t="str">
        <x:v>质量度量与执行记录（实际值留空）</x:v>
      </x:c>
      <x:c r="C78" s="86" t="str">
        <x:v>质量度量与执行记录（实际值留空）</x:v>
      </x:c>
      <x:c r="D78" s="86" t="str">
        <x:v>质量度量与执行记录（实际值留空）</x:v>
      </x:c>
      <x:c r="E78" s="86" t="str">
        <x:v>质量度量与执行记录（实际值留空）</x:v>
      </x:c>
      <x:c r="F78" s="86" t="str">
        <x:v>质量度量与执行记录（实际值留空）</x:v>
      </x:c>
      <x:c r="G78" s="86" t="str">
        <x:v>质量度量与执行记录（实际值留空）</x:v>
      </x:c>
      <x:c r="H78" s="86" t="str">
        <x:v>质量度量与执行记录（实际值留空）</x:v>
      </x:c>
      <x:c r="I78" s="86" t="str">
        <x:v>质量度量与执行记录（实际值留空）</x:v>
      </x:c>
      <x:c r="J78" s="86" t="str">
        <x:v>质量度量与执行记录（实际值留空）</x:v>
      </x:c>
      <x:c r="K78" s="86" t="str">
        <x:v>质量度量与执行记录（实际值留空）</x:v>
      </x:c>
    </x:row>
    <x:row r="79" ht="40" customHeight="1">
      <x:c r="A79" s="79" t="str">
        <x:v>目标引用现有SRS和Q01–Q16。比例须有明确分子、分母和证据；未执行不等于零缺陷或已通过，不另设未经定义的加权总分。</x:v>
      </x:c>
      <x:c r="B79" s="79" t="str">
        <x:v>目标引用现有SRS和Q01–Q16。比例须有明确分子、分母和证据；未执行不等于零缺陷或已通过，不另设未经定义的加权总分。</x:v>
      </x:c>
      <x:c r="C79" s="79" t="str">
        <x:v>目标引用现有SRS和Q01–Q16。比例须有明确分子、分母和证据；未执行不等于零缺陷或已通过，不另设未经定义的加权总分。</x:v>
      </x:c>
      <x:c r="D79" s="79" t="str">
        <x:v>目标引用现有SRS和Q01–Q16。比例须有明确分子、分母和证据；未执行不等于零缺陷或已通过，不另设未经定义的加权总分。</x:v>
      </x:c>
      <x:c r="E79" s="79" t="str">
        <x:v>目标引用现有SRS和Q01–Q16。比例须有明确分子、分母和证据；未执行不等于零缺陷或已通过，不另设未经定义的加权总分。</x:v>
      </x:c>
      <x:c r="F79" s="79" t="str">
        <x:v>目标引用现有SRS和Q01–Q16。比例须有明确分子、分母和证据；未执行不等于零缺陷或已通过，不另设未经定义的加权总分。</x:v>
      </x:c>
      <x:c r="G79" s="79" t="str">
        <x:v>目标引用现有SRS和Q01–Q16。比例须有明确分子、分母和证据；未执行不等于零缺陷或已通过，不另设未经定义的加权总分。</x:v>
      </x:c>
      <x:c r="H79" s="79" t="str">
        <x:v>目标引用现有SRS和Q01–Q16。比例须有明确分子、分母和证据；未执行不等于零缺陷或已通过，不另设未经定义的加权总分。</x:v>
      </x:c>
      <x:c r="I79" s="79" t="str">
        <x:v>目标引用现有SRS和Q01–Q16。比例须有明确分子、分母和证据；未执行不等于零缺陷或已通过，不另设未经定义的加权总分。</x:v>
      </x:c>
      <x:c r="J79" s="79" t="str">
        <x:v>目标引用现有SRS和Q01–Q16。比例须有明确分子、分母和证据；未执行不等于零缺陷或已通过，不另设未经定义的加权总分。</x:v>
      </x:c>
      <x:c r="K79" s="79" t="str">
        <x:v>目标引用现有SRS和Q01–Q16。比例须有明确分子、分母和证据；未执行不等于零缺陷或已通过，不另设未经定义的加权总分。</x:v>
      </x:c>
    </x:row>
    <x:row r="81" ht="50" customHeight="1">
      <x:c r="A81" s="86" t="str">
        <x:v>编号</x:v>
      </x:c>
      <x:c r="B81" s="86" t="str">
        <x:v>度量对象</x:v>
      </x:c>
      <x:c r="C81" s="86" t="str">
        <x:v>度量与统计口径</x:v>
      </x:c>
      <x:c r="D81" s="86" t="str">
        <x:v>目标/通过条件</x:v>
      </x:c>
      <x:c r="E81" s="86" t="str">
        <x:v>采集任务</x:v>
      </x:c>
      <x:c r="F81" s="86" t="str">
        <x:v>责任角色</x:v>
      </x:c>
      <x:c r="G81" s="86" t="str">
        <x:v>实际值</x:v>
      </x:c>
      <x:c r="H81" s="86" t="str">
        <x:v>实际证据/版本</x:v>
      </x:c>
      <x:c r="I81" s="86" t="str">
        <x:v>测量日期</x:v>
      </x:c>
      <x:c r="J81" s="86" t="str">
        <x:v>结论</x:v>
      </x:c>
      <x:c r="K81" s="86" t="str">
        <x:v>处理措施</x:v>
      </x:c>
    </x:row>
    <x:row r="82" ht="88" customHeight="1">
      <x:c r="A82" s="79" t="str">
        <x:v>QM01</x:v>
      </x:c>
      <x:c r="B82" s="79" t="str">
        <x:v>需求追踪覆盖</x:v>
      </x:c>
      <x:c r="C82" s="79" t="str">
        <x:v>具备WBS及AC映射的有效需求数÷当前基线有效需求总数；分母随正式需求版本核对。</x:v>
      </x:c>
      <x:c r="D82" s="79" t="str">
        <x:v>FR/NFR/IF逐项覆盖，沿用43项基线，不预置已完成比例。</x:v>
      </x:c>
      <x:c r="E82" s="79" t="str">
        <x:v>T1.1/T1.3/T5.6</x:v>
      </x:c>
      <x:c r="F82" s="79" t="str">
        <x:v>R01/R04</x:v>
      </x:c>
      <x:c r="G82" s="79"/>
      <x:c r="H82" s="79"/>
      <x:c r="I82" s="80"/>
      <x:c r="J82" s="79"/>
      <x:c r="K82" s="79"/>
    </x:row>
    <x:row r="83" ht="88" customHeight="1">
      <x:c r="A83" s="79" t="str">
        <x:v>QM02</x:v>
      </x:c>
      <x:c r="B83" s="79" t="str">
        <x:v>关键必需测试</x:v>
      </x:c>
      <x:c r="C83" s="79" t="str">
        <x:v>通过的关键必需用例数÷已确认关键必需用例数；未执行、阻塞、失败分别登记。</x:v>
      </x:c>
      <x:c r="D83" s="79" t="str">
        <x:v>最终验收关键必需测试100%；边界和失败路径按SRS验证。</x:v>
      </x:c>
      <x:c r="E83" s="79" t="str">
        <x:v>T4.3–T4.9/T5.6</x:v>
      </x:c>
      <x:c r="F83" s="79" t="str">
        <x:v>R04</x:v>
      </x:c>
      <x:c r="G83" s="79"/>
      <x:c r="H83" s="79"/>
      <x:c r="I83" s="80"/>
      <x:c r="J83" s="79"/>
      <x:c r="K83" s="79"/>
    </x:row>
    <x:row r="84" ht="88" customHeight="1">
      <x:c r="A84" s="79" t="str">
        <x:v>QM03</x:v>
      </x:c>
      <x:c r="B84" s="79" t="str">
        <x:v>未关闭阻断严重缺陷</x:v>
      </x:c>
      <x:c r="C84" s="79" t="str">
        <x:v>按当前验收版本统计未关闭的阻断、严重功能缺陷，不把未测试视为无缺陷。</x:v>
      </x:c>
      <x:c r="D84" s="79" t="str">
        <x:v>阻断严重功能缺陷0，沿用SRS 9.4；其他缺陷记录影响与修复版本。</x:v>
      </x:c>
      <x:c r="E84" s="79" t="str">
        <x:v>T4.10/T5.6</x:v>
      </x:c>
      <x:c r="F84" s="79" t="str">
        <x:v>R02/R04</x:v>
      </x:c>
      <x:c r="G84" s="79"/>
      <x:c r="H84" s="79"/>
      <x:c r="I84" s="80"/>
      <x:c r="J84" s="79"/>
      <x:c r="K84" s="79"/>
    </x:row>
    <x:row r="85" ht="88" customHeight="1">
      <x:c r="A85" s="79" t="str">
        <x:v>QM04</x:v>
      </x:c>
      <x:c r="B85" s="79" t="str">
        <x:v>严重高危漏洞</x:v>
      </x:c>
      <x:c r="C85" s="79" t="str">
        <x:v>对既定安全范围的扫描、人工验证和修复复测按相同版本统计。</x:v>
      </x:c>
      <x:c r="D85" s="79" t="str">
        <x:v>严重高危漏洞0；其余缺陷登记影响和工程修复版本。</x:v>
      </x:c>
      <x:c r="E85" s="79" t="str">
        <x:v>T4.6/T4.10</x:v>
      </x:c>
      <x:c r="F85" s="79" t="str">
        <x:v>R04</x:v>
      </x:c>
      <x:c r="G85" s="79"/>
      <x:c r="H85" s="79"/>
      <x:c r="I85" s="80"/>
      <x:c r="J85" s="79"/>
      <x:c r="K85" s="79"/>
    </x:row>
    <x:row r="86" ht="88" customHeight="1">
      <x:c r="A86" s="79" t="str">
        <x:v>QM05</x:v>
      </x:c>
      <x:c r="B86" s="79" t="str">
        <x:v>性能与兼容达标</x:v>
      </x:c>
      <x:c r="C86" s="79" t="str">
        <x:v>按Q11–Q15分别记录负载、P95、导出、恢复、浏览器和环境结果，不合并成无依据总分。</x:v>
      </x:c>
      <x:c r="D86" s="79" t="str">
        <x:v>沿用Q11–Q15及SRS量化阈值；72小时验证不替代月可用性持续目标。</x:v>
      </x:c>
      <x:c r="E86" s="79" t="str">
        <x:v>T4.7/T4.8/T4.9</x:v>
      </x:c>
      <x:c r="F86" s="79" t="str">
        <x:v>R04</x:v>
      </x:c>
      <x:c r="G86" s="79"/>
      <x:c r="H86" s="79"/>
      <x:c r="I86" s="80"/>
      <x:c r="J86" s="79"/>
      <x:c r="K86" s="79"/>
    </x:row>
    <x:row r="87" ht="88" customHeight="1">
      <x:c r="A87" s="79" t="str">
        <x:v>QM06</x:v>
      </x:c>
      <x:c r="B87" s="79" t="str">
        <x:v>质量活动与问题闭环</x:v>
      </x:c>
      <x:c r="C87" s="79" t="str">
        <x:v>记录应执行活动、实际证据、发现项、关闭/重开和转入；无证据不算已完成。</x:v>
      </x:c>
      <x:c r="D87" s="79" t="str">
        <x:v>验收前处理影响基线或通过门槛的未闭环项；其余项明确责任、期限和影响。</x:v>
      </x:c>
      <x:c r="E87" s="79" t="str">
        <x:v>QA01–QA06/QC01–QC02</x:v>
      </x:c>
      <x:c r="F87" s="79" t="str">
        <x:v>R01及原责任人</x:v>
      </x:c>
      <x:c r="G87" s="79"/>
      <x:c r="H87" s="79"/>
      <x:c r="I87" s="80"/>
      <x:c r="J87" s="79"/>
      <x:c r="K87" s="79"/>
    </x:row>
    <x:row r="89" ht="44" customHeight="1">
      <x:c r="A89" s="79" t="str">
        <x:v>最终放行沿用SRS 9.4–9.5：逐项需求证据、边界与失败路径、关键必需测试、功能缺陷及安全门槛均满足；实际REAL验证缺失时保留未完成。月可用性持续目标不以72小时验证替代。</x:v>
      </x:c>
      <x:c r="B89" s="79" t="str">
        <x:v>最终放行沿用SRS 9.4–9.5：逐项需求证据、边界与失败路径、关键必需测试、功能缺陷及安全门槛均满足；实际REAL验证缺失时保留未完成。月可用性持续目标不以72小时验证替代。</x:v>
      </x:c>
      <x:c r="C89" s="79" t="str">
        <x:v>最终放行沿用SRS 9.4–9.5：逐项需求证据、边界与失败路径、关键必需测试、功能缺陷及安全门槛均满足；实际REAL验证缺失时保留未完成。月可用性持续目标不以72小时验证替代。</x:v>
      </x:c>
      <x:c r="D89" s="79" t="str">
        <x:v>最终放行沿用SRS 9.4–9.5：逐项需求证据、边界与失败路径、关键必需测试、功能缺陷及安全门槛均满足；实际REAL验证缺失时保留未完成。月可用性持续目标不以72小时验证替代。</x:v>
      </x:c>
      <x:c r="E89" s="79" t="str">
        <x:v>最终放行沿用SRS 9.4–9.5：逐项需求证据、边界与失败路径、关键必需测试、功能缺陷及安全门槛均满足；实际REAL验证缺失时保留未完成。月可用性持续目标不以72小时验证替代。</x:v>
      </x:c>
      <x:c r="F89" s="79" t="str">
        <x:v>最终放行沿用SRS 9.4–9.5：逐项需求证据、边界与失败路径、关键必需测试、功能缺陷及安全门槛均满足；实际REAL验证缺失时保留未完成。月可用性持续目标不以72小时验证替代。</x:v>
      </x:c>
      <x:c r="G89" s="79" t="str">
        <x:v>最终放行沿用SRS 9.4–9.5：逐项需求证据、边界与失败路径、关键必需测试、功能缺陷及安全门槛均满足；实际REAL验证缺失时保留未完成。月可用性持续目标不以72小时验证替代。</x:v>
      </x:c>
      <x:c r="H89" s="79" t="str">
        <x:v>最终放行沿用SRS 9.4–9.5：逐项需求证据、边界与失败路径、关键必需测试、功能缺陷及安全门槛均满足；实际REAL验证缺失时保留未完成。月可用性持续目标不以72小时验证替代。</x:v>
      </x:c>
      <x:c r="I89" s="79" t="str">
        <x:v>最终放行沿用SRS 9.4–9.5：逐项需求证据、边界与失败路径、关键必需测试、功能缺陷及安全门槛均满足；实际REAL验证缺失时保留未完成。月可用性持续目标不以72小时验证替代。</x:v>
      </x:c>
      <x:c r="J89" s="79" t="str">
        <x:v>最终放行沿用SRS 9.4–9.5：逐项需求证据、边界与失败路径、关键必需测试、功能缺陷及安全门槛均满足；实际REAL验证缺失时保留未完成。月可用性持续目标不以72小时验证替代。</x:v>
      </x:c>
      <x:c r="K89" s="79" t="str">
        <x:v>最终放行沿用SRS 9.4–9.5：逐项需求证据、边界与失败路径、关键必需测试、功能缺陷及安全门槛均满足；实际REAL验证缺失时保留未完成。月可用性持续目标不以72小时验证替代。</x:v>
      </x:c>
    </x:row>
    <x:row r="92" ht="28" customHeight="1">
      <x:c r="A92" s="86" t="str">
        <x:v>缺陷、不符合项与改进登记</x:v>
      </x:c>
      <x:c r="B92" s="86" t="str">
        <x:v>缺陷、不符合项与改进登记</x:v>
      </x:c>
      <x:c r="C92" s="86" t="str">
        <x:v>缺陷、不符合项与改进登记</x:v>
      </x:c>
      <x:c r="D92" s="86" t="str">
        <x:v>缺陷、不符合项与改进登记</x:v>
      </x:c>
      <x:c r="E92" s="86" t="str">
        <x:v>缺陷、不符合项与改进登记</x:v>
      </x:c>
      <x:c r="F92" s="86" t="str">
        <x:v>缺陷、不符合项与改进登记</x:v>
      </x:c>
      <x:c r="G92" s="86" t="str">
        <x:v>缺陷、不符合项与改进登记</x:v>
      </x:c>
      <x:c r="H92" s="86" t="str">
        <x:v>缺陷、不符合项与改进登记</x:v>
      </x:c>
      <x:c r="I92" s="86" t="str">
        <x:v>缺陷、不符合项与改进登记</x:v>
      </x:c>
      <x:c r="J92" s="86" t="str">
        <x:v>缺陷、不符合项与改进登记</x:v>
      </x:c>
      <x:c r="K92" s="86" t="str">
        <x:v>缺陷、不符合项与改进登记</x:v>
      </x:c>
    </x:row>
    <x:row r="93" ht="44" customHeight="1">
      <x:c r="A93" s="79" t="str">
        <x:v>发现后登记编号、影响和责任，分析根因，关联修复版本，由非作者复测；通过后关闭，未通过重开。未完成项记录原因和转入轮次；涉及受控范围、验收、排期或预算变化时办理CR。</x:v>
      </x:c>
      <x:c r="B93" s="79" t="str">
        <x:v>发现后登记编号、影响和责任，分析根因，关联修复版本，由非作者复测；通过后关闭，未通过重开。未完成项记录原因和转入轮次；涉及受控范围、验收、排期或预算变化时办理CR。</x:v>
      </x:c>
      <x:c r="C93" s="79" t="str">
        <x:v>发现后登记编号、影响和责任，分析根因，关联修复版本，由非作者复测；通过后关闭，未通过重开。未完成项记录原因和转入轮次；涉及受控范围、验收、排期或预算变化时办理CR。</x:v>
      </x:c>
      <x:c r="D93" s="79" t="str">
        <x:v>发现后登记编号、影响和责任，分析根因，关联修复版本，由非作者复测；通过后关闭，未通过重开。未完成项记录原因和转入轮次；涉及受控范围、验收、排期或预算变化时办理CR。</x:v>
      </x:c>
      <x:c r="E93" s="79" t="str">
        <x:v>发现后登记编号、影响和责任，分析根因，关联修复版本，由非作者复测；通过后关闭，未通过重开。未完成项记录原因和转入轮次；涉及受控范围、验收、排期或预算变化时办理CR。</x:v>
      </x:c>
      <x:c r="F93" s="79" t="str">
        <x:v>发现后登记编号、影响和责任，分析根因，关联修复版本，由非作者复测；通过后关闭，未通过重开。未完成项记录原因和转入轮次；涉及受控范围、验收、排期或预算变化时办理CR。</x:v>
      </x:c>
      <x:c r="G93" s="79" t="str">
        <x:v>发现后登记编号、影响和责任，分析根因，关联修复版本，由非作者复测；通过后关闭，未通过重开。未完成项记录原因和转入轮次；涉及受控范围、验收、排期或预算变化时办理CR。</x:v>
      </x:c>
      <x:c r="H93" s="79" t="str">
        <x:v>发现后登记编号、影响和责任，分析根因，关联修复版本，由非作者复测；通过后关闭，未通过重开。未完成项记录原因和转入轮次；涉及受控范围、验收、排期或预算变化时办理CR。</x:v>
      </x:c>
      <x:c r="I93" s="79" t="str">
        <x:v>发现后登记编号、影响和责任，分析根因，关联修复版本，由非作者复测；通过后关闭，未通过重开。未完成项记录原因和转入轮次；涉及受控范围、验收、排期或预算变化时办理CR。</x:v>
      </x:c>
      <x:c r="J93" s="79" t="str">
        <x:v>发现后登记编号、影响和责任，分析根因，关联修复版本，由非作者复测；通过后关闭，未通过重开。未完成项记录原因和转入轮次；涉及受控范围、验收、排期或预算变化时办理CR。</x:v>
      </x:c>
      <x:c r="K93" s="79" t="str">
        <x:v>发现后登记编号、影响和责任，分析根因，关联修复版本，由非作者复测；通过后关闭，未通过重开。未完成项记录原因和转入轮次；涉及受控范围、验收、排期或预算变化时办理CR。</x:v>
      </x:c>
    </x:row>
    <x:row r="95" ht="50" customHeight="1">
      <x:c r="A95" s="86" t="str">
        <x:v>缺陷/问题号</x:v>
      </x:c>
      <x:c r="B95" s="86" t="str">
        <x:v>需求/AC</x:v>
      </x:c>
      <x:c r="C95" s="86" t="str">
        <x:v>严重度/影响</x:v>
      </x:c>
      <x:c r="D95" s="86" t="str">
        <x:v>发现日期/阶段</x:v>
      </x:c>
      <x:c r="E95" s="86" t="str">
        <x:v>责任人</x:v>
      </x:c>
      <x:c r="F95" s="86" t="str">
        <x:v>根因/措施</x:v>
      </x:c>
      <x:c r="G95" s="86" t="str">
        <x:v>修复版本</x:v>
      </x:c>
      <x:c r="H95" s="86" t="str">
        <x:v>复测人/结果</x:v>
      </x:c>
      <x:c r="I95" s="86" t="str">
        <x:v>关闭日期</x:v>
      </x:c>
      <x:c r="J95" s="86" t="str">
        <x:v>质量成本类别</x:v>
      </x:c>
      <x:c r="K95" s="86" t="str">
        <x:v>关联CR/证据</x:v>
      </x:c>
    </x:row>
    <x:row r="96" ht="72" customHeight="1">
      <x:c r="A96" s="79"/>
      <x:c r="B96" s="79"/>
      <x:c r="C96" s="79"/>
      <x:c r="D96" s="79"/>
      <x:c r="E96" s="79"/>
      <x:c r="F96" s="79"/>
      <x:c r="G96" s="79"/>
      <x:c r="H96" s="79"/>
      <x:c r="I96" s="80"/>
      <x:c r="J96" s="79"/>
      <x:c r="K96" s="79"/>
    </x:row>
    <x:row r="97" ht="72" customHeight="1">
      <x:c r="A97" s="79"/>
      <x:c r="B97" s="79"/>
      <x:c r="C97" s="79"/>
      <x:c r="D97" s="79"/>
      <x:c r="E97" s="79"/>
      <x:c r="F97" s="79"/>
      <x:c r="G97" s="79"/>
      <x:c r="H97" s="79"/>
      <x:c r="I97" s="80"/>
      <x:c r="J97" s="79"/>
      <x:c r="K97" s="79"/>
    </x:row>
    <x:row r="98" ht="72" customHeight="1">
      <x:c r="A98" s="79"/>
      <x:c r="B98" s="79"/>
      <x:c r="C98" s="79"/>
      <x:c r="D98" s="79"/>
      <x:c r="E98" s="79"/>
      <x:c r="F98" s="79"/>
      <x:c r="G98" s="79"/>
      <x:c r="H98" s="79"/>
      <x:c r="I98" s="80"/>
      <x:c r="J98" s="79"/>
      <x:c r="K98" s="79"/>
    </x:row>
    <x:row r="99" ht="72" customHeight="1">
      <x:c r="A99" s="79"/>
      <x:c r="B99" s="79"/>
      <x:c r="C99" s="79"/>
      <x:c r="D99" s="79"/>
      <x:c r="E99" s="79"/>
      <x:c r="F99" s="79"/>
      <x:c r="G99" s="79"/>
      <x:c r="H99" s="79"/>
      <x:c r="I99" s="80"/>
      <x:c r="J99" s="79"/>
      <x:c r="K99" s="79"/>
    </x:row>
    <x:row r="101" ht="40" customHeight="1">
      <x:c r="A101" s="79" t="str">
        <x:v>问题记录只填写真实发现和处理情况；计划编制不等于开发或验收完成。质量费用按成本预算分类记录，已包含的人工和资源费用不再次加算。</x:v>
      </x:c>
      <x:c r="B101" s="79" t="str">
        <x:v>问题记录只填写真实发现和处理情况；计划编制不等于开发或验收完成。质量费用按成本预算分类记录，已包含的人工和资源费用不再次加算。</x:v>
      </x:c>
      <x:c r="C101" s="79" t="str">
        <x:v>问题记录只填写真实发现和处理情况；计划编制不等于开发或验收完成。质量费用按成本预算分类记录，已包含的人工和资源费用不再次加算。</x:v>
      </x:c>
      <x:c r="D101" s="79" t="str">
        <x:v>问题记录只填写真实发现和处理情况；计划编制不等于开发或验收完成。质量费用按成本预算分类记录，已包含的人工和资源费用不再次加算。</x:v>
      </x:c>
      <x:c r="E101" s="79" t="str">
        <x:v>问题记录只填写真实发现和处理情况；计划编制不等于开发或验收完成。质量费用按成本预算分类记录，已包含的人工和资源费用不再次加算。</x:v>
      </x:c>
      <x:c r="F101" s="79" t="str">
        <x:v>问题记录只填写真实发现和处理情况；计划编制不等于开发或验收完成。质量费用按成本预算分类记录，已包含的人工和资源费用不再次加算。</x:v>
      </x:c>
      <x:c r="G101" s="79" t="str">
        <x:v>问题记录只填写真实发现和处理情况；计划编制不等于开发或验收完成。质量费用按成本预算分类记录，已包含的人工和资源费用不再次加算。</x:v>
      </x:c>
      <x:c r="H101" s="79" t="str">
        <x:v>问题记录只填写真实发现和处理情况；计划编制不等于开发或验收完成。质量费用按成本预算分类记录，已包含的人工和资源费用不再次加算。</x:v>
      </x:c>
      <x:c r="I101" s="79" t="str">
        <x:v>问题记录只填写真实发现和处理情况；计划编制不等于开发或验收完成。质量费用按成本预算分类记录，已包含的人工和资源费用不再次加算。</x:v>
      </x:c>
      <x:c r="J101" s="79" t="str">
        <x:v>问题记录只填写真实发现和处理情况；计划编制不等于开发或验收完成。质量费用按成本预算分类记录，已包含的人工和资源费用不再次加算。</x:v>
      </x:c>
      <x:c r="K101" s="79" t="str">
        <x:v>问题记录只填写真实发现和处理情况；计划编制不等于开发或验收完成。质量费用按成本预算分类记录，已包含的人工和资源费用不再次加算。</x:v>
      </x:c>
    </x:row>
  </x:sheetData>
  <x:mergeCells>
    <x:mergeCell ref="A44:K44"/>
    <x:mergeCell ref="A45:K45"/>
    <x:mergeCell ref="A57:K57"/>
    <x:mergeCell ref="A58:K58"/>
    <x:mergeCell ref="A59:K59"/>
    <x:mergeCell ref="A62:K62"/>
    <x:mergeCell ref="A63:K63"/>
    <x:mergeCell ref="A75:K75"/>
    <x:mergeCell ref="A78:K78"/>
    <x:mergeCell ref="A79:K79"/>
    <x:mergeCell ref="A89:K89"/>
    <x:mergeCell ref="A92:K92"/>
    <x:mergeCell ref="A93:K93"/>
    <x:mergeCell ref="A101:K101"/>
  </x:mergeCells>
  <x:pageMargins left="0.7" right="0.7" top="0.75" bottom="0.75" header="0.3" footer="0.3"/>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0" hidden="0" customWidth="1"/>
    <x:col min="2" max="2" width="35" hidden="0" customWidth="1"/>
    <x:col min="3" max="3" width="7.5" hidden="0" customWidth="1"/>
    <x:col min="4" max="4" width="7.5" hidden="0" customWidth="1"/>
    <x:col min="5" max="5" width="7.5" hidden="0" customWidth="1"/>
    <x:col min="6" max="6" width="7.5" hidden="0" customWidth="1"/>
    <x:col min="7" max="7" width="7.5" hidden="0" customWidth="1"/>
    <x:col min="8" max="8" width="7.5" hidden="0" customWidth="1"/>
    <x:col min="9" max="9" width="7.5" hidden="0" customWidth="1"/>
    <x:col min="10" max="10" width="7.5" hidden="0" customWidth="1"/>
    <x:col min="11" max="11" width="7.5" hidden="0" customWidth="1"/>
    <x:col min="12" max="12" width="7.5" hidden="0" customWidth="1"/>
    <x:col min="13" max="13" width="7.5" hidden="0" customWidth="1"/>
    <x:col min="14" max="14" width="7.5" hidden="0" customWidth="1"/>
    <x:col min="15" max="15" width="7.5" hidden="0" customWidth="1"/>
    <x:col min="16" max="16" width="7.5" hidden="0" customWidth="1"/>
    <x:col min="17" max="17" width="7.5" hidden="0" customWidth="1"/>
    <x:col min="18" max="18" width="7.5" hidden="0" customWidth="1"/>
    <x:col min="19" max="19" width="7.5" hidden="0" customWidth="1"/>
    <x:col min="20" max="20" width="7.5" hidden="0" customWidth="1"/>
    <x:col min="21" max="21" width="7.5" hidden="0" customWidth="1"/>
    <x:col min="22" max="22" width="7.5" hidden="0" customWidth="1"/>
    <x:col min="23" max="23" width="7.5" hidden="0" customWidth="1"/>
    <x:col min="24" max="24" width="7.5" hidden="0" customWidth="1"/>
    <x:col min="25" max="25" width="7.5" hidden="0" customWidth="1"/>
    <x:col min="26" max="26" width="7.5" hidden="0" customWidth="1"/>
    <x:col min="27" max="27" width="7.5" hidden="0" customWidth="1"/>
    <x:col min="28" max="28" width="7.5" hidden="0" customWidth="1"/>
    <x:col min="29" max="29" width="7.5" hidden="0" customWidth="1"/>
    <x:col min="30" max="30" width="7.5" hidden="0" customWidth="1"/>
    <x:col min="31" max="31" width="7.5" hidden="0" customWidth="1"/>
    <x:col min="32" max="32" width="7.5" hidden="0" customWidth="1"/>
    <x:col min="33" max="33" width="7.5" hidden="0" customWidth="1"/>
    <x:col min="34" max="34" width="7.5" hidden="0" customWidth="1"/>
    <x:col min="35" max="35" width="7.5" hidden="0" customWidth="1"/>
    <x:col min="36" max="36" width="7.5" hidden="0" customWidth="1"/>
    <x:col min="37" max="37" width="7.5" hidden="0" customWidth="1"/>
    <x:col min="38" max="38" width="7.5" hidden="0" customWidth="1"/>
    <x:col min="39" max="39" width="7.5" hidden="0" customWidth="1"/>
    <x:col min="40" max="40" width="7.5" hidden="0" customWidth="1"/>
    <x:col min="41" max="41" width="7.5" hidden="0" customWidth="1"/>
    <x:col min="42" max="42" width="7.5" hidden="0" customWidth="1"/>
  </x:cols>
  <x:sheetData>
    <x:row r="1" ht="38" customHeight="1">
      <x:c r="A1" s="28"/>
      <x:c r="B1" s="28"/>
      <x:c r="C1" s="28"/>
      <x:c r="D1" s="28"/>
      <x:c r="E1" s="28"/>
      <x:c r="F1" s="28"/>
      <x:c r="G1" s="28"/>
      <x:c r="H1" s="28"/>
      <x:c r="I1" s="28"/>
      <x:c r="J1" s="28"/>
      <x:c r="K1" s="28"/>
      <x:c r="L1" s="28"/>
      <x:c r="M1" s="28"/>
      <x:c r="N1" s="28"/>
      <x:c r="O1" s="28"/>
      <x:c r="P1" s="28"/>
      <x:c r="Q1" s="28"/>
      <x:c r="R1" s="28"/>
      <x:c r="S1" s="28"/>
      <x:c r="T1" s="28"/>
      <x:c r="U1" s="28"/>
      <x:c r="V1" s="28"/>
      <x:c r="W1" s="28"/>
      <x:c r="X1" s="28"/>
      <x:c r="Y1" s="28"/>
      <x:c r="Z1" s="28"/>
      <x:c r="AA1" s="28"/>
      <x:c r="AB1" s="28"/>
      <x:c r="AC1" s="28"/>
      <x:c r="AD1" s="28"/>
      <x:c r="AE1" s="28"/>
      <x:c r="AF1" s="28"/>
      <x:c r="AG1" s="28"/>
      <x:c r="AH1" s="28"/>
      <x:c r="AI1" s="28"/>
      <x:c r="AJ1" s="28"/>
      <x:c r="AK1" s="28"/>
      <x:c r="AL1" s="28"/>
      <x:c r="AM1" s="28"/>
      <x:c r="AN1" s="28"/>
      <x:c r="AO1" s="28"/>
      <x:c r="AP1" s="28"/>
    </x:row>
    <x:row r="2" ht="38" customHeight="1">
      <x:c r="A2" s="48" t="str">
        <x:v>日期甘特图（4人8周仿真）</x:v>
      </x:c>
      <x:c r="B2" s="28"/>
      <x:c r="C2" s="28"/>
      <x:c r="D2" s="28"/>
      <x:c r="E2" s="28"/>
      <x:c r="F2" s="28"/>
      <x:c r="G2" s="28"/>
      <x:c r="H2" s="28"/>
      <x:c r="I2" s="28"/>
      <x:c r="J2" s="28"/>
      <x:c r="K2" s="28"/>
      <x:c r="L2" s="28"/>
      <x:c r="M2" s="28"/>
      <x:c r="N2" s="28"/>
      <x:c r="O2" s="28"/>
      <x:c r="P2" s="28"/>
      <x:c r="Q2" s="28"/>
      <x:c r="R2" s="28"/>
      <x:c r="S2" s="28"/>
      <x:c r="T2" s="28"/>
      <x:c r="U2" s="28"/>
      <x:c r="V2" s="28"/>
      <x:c r="W2" s="28"/>
      <x:c r="X2" s="28"/>
      <x:c r="Y2" s="28"/>
      <x:c r="Z2" s="28"/>
      <x:c r="AA2" s="28"/>
      <x:c r="AB2" s="28"/>
      <x:c r="AC2" s="28"/>
      <x:c r="AD2" s="28"/>
      <x:c r="AE2" s="28"/>
      <x:c r="AF2" s="28"/>
      <x:c r="AG2" s="28"/>
      <x:c r="AH2" s="28"/>
      <x:c r="AI2" s="28"/>
      <x:c r="AJ2" s="28"/>
      <x:c r="AK2" s="28"/>
      <x:c r="AL2" s="28"/>
      <x:c r="AM2" s="28"/>
      <x:c r="AN2" s="28"/>
      <x:c r="AO2" s="28"/>
      <x:c r="AP2" s="28"/>
    </x:row>
    <x:row r="3" ht="38" customHeight="1">
      <x:c r="A3" s="49" t="str">
        <x:v>2026-10-19至2026-12-11，周一至周五；黑色方块为计划活动日，实际执行尚未发生。</x:v>
      </x:c>
      <x:c r="B3" s="28"/>
      <x:c r="C3" s="28"/>
      <x:c r="D3" s="28"/>
      <x:c r="E3" s="28"/>
      <x:c r="F3" s="28"/>
      <x:c r="G3" s="28"/>
      <x:c r="H3" s="28"/>
      <x:c r="I3" s="28"/>
      <x:c r="J3" s="28"/>
      <x:c r="K3" s="28"/>
      <x:c r="L3" s="28"/>
      <x:c r="M3" s="28"/>
      <x:c r="N3" s="28"/>
      <x:c r="O3" s="28"/>
      <x:c r="P3" s="28"/>
      <x:c r="Q3" s="28"/>
      <x:c r="R3" s="28"/>
      <x:c r="S3" s="28"/>
      <x:c r="T3" s="28"/>
      <x:c r="U3" s="28"/>
      <x:c r="V3" s="28"/>
      <x:c r="W3" s="28"/>
      <x:c r="X3" s="28"/>
      <x:c r="Y3" s="28"/>
      <x:c r="Z3" s="28"/>
      <x:c r="AA3" s="28"/>
      <x:c r="AB3" s="28"/>
      <x:c r="AC3" s="28"/>
      <x:c r="AD3" s="28"/>
      <x:c r="AE3" s="28"/>
      <x:c r="AF3" s="28"/>
      <x:c r="AG3" s="28"/>
      <x:c r="AH3" s="28"/>
      <x:c r="AI3" s="28"/>
      <x:c r="AJ3" s="28"/>
      <x:c r="AK3" s="28"/>
      <x:c r="AL3" s="28"/>
      <x:c r="AM3" s="28"/>
      <x:c r="AN3" s="28"/>
      <x:c r="AO3" s="28"/>
      <x:c r="AP3" s="28"/>
    </x:row>
    <x:row r="4" ht="38" customHeight="1">
      <x:c r="A4" s="28"/>
      <x:c r="B4" s="28"/>
      <x:c r="C4" s="50" t="str">
        <x:v>W1</x:v>
      </x:c>
      <x:c r="D4" s="50"/>
      <x:c r="E4" s="50"/>
      <x:c r="F4" s="50"/>
      <x:c r="G4" s="50"/>
      <x:c r="H4" s="50" t="str">
        <x:v>W2</x:v>
      </x:c>
      <x:c r="I4" s="50"/>
      <x:c r="J4" s="50"/>
      <x:c r="K4" s="50"/>
      <x:c r="L4" s="50"/>
      <x:c r="M4" s="50" t="str">
        <x:v>W3</x:v>
      </x:c>
      <x:c r="N4" s="50"/>
      <x:c r="O4" s="50"/>
      <x:c r="P4" s="50"/>
      <x:c r="Q4" s="50"/>
      <x:c r="R4" s="50" t="str">
        <x:v>W4</x:v>
      </x:c>
      <x:c r="S4" s="50"/>
      <x:c r="T4" s="50"/>
      <x:c r="U4" s="50"/>
      <x:c r="V4" s="50"/>
      <x:c r="W4" s="50" t="str">
        <x:v>W5</x:v>
      </x:c>
      <x:c r="X4" s="50"/>
      <x:c r="Y4" s="50"/>
      <x:c r="Z4" s="50"/>
      <x:c r="AA4" s="50"/>
      <x:c r="AB4" s="50" t="str">
        <x:v>W6</x:v>
      </x:c>
      <x:c r="AC4" s="50"/>
      <x:c r="AD4" s="50"/>
      <x:c r="AE4" s="50"/>
      <x:c r="AF4" s="50"/>
      <x:c r="AG4" s="50" t="str">
        <x:v>W7</x:v>
      </x:c>
      <x:c r="AH4" s="50"/>
      <x:c r="AI4" s="50"/>
      <x:c r="AJ4" s="50"/>
      <x:c r="AK4" s="50"/>
      <x:c r="AL4" s="50" t="str">
        <x:v>W8</x:v>
      </x:c>
      <x:c r="AM4" s="50"/>
      <x:c r="AN4" s="50"/>
      <x:c r="AO4" s="50"/>
      <x:c r="AP4" s="50"/>
    </x:row>
    <x:row r="5" ht="38" customHeight="1">
      <x:c r="A5" s="30" t="str">
        <x:v>WBS</x:v>
      </x:c>
      <x:c r="B5" s="30" t="str">
        <x:v>任务名称</x:v>
      </x:c>
      <x:c r="C5" s="55" t="n">
        <x:f>WORKDAY('项目总表'!$B$15-1,1)</x:f>
        <x:v>46314</x:v>
      </x:c>
      <x:c r="D5" s="55" t="n">
        <x:f>WORKDAY('项目总表'!$B$15-1,2)</x:f>
        <x:v>46315</x:v>
      </x:c>
      <x:c r="E5" s="55" t="n">
        <x:f>WORKDAY('项目总表'!$B$15-1,3)</x:f>
        <x:v>46316</x:v>
      </x:c>
      <x:c r="F5" s="55" t="n">
        <x:f>WORKDAY('项目总表'!$B$15-1,4)</x:f>
        <x:v>46317</x:v>
      </x:c>
      <x:c r="G5" s="55" t="n">
        <x:f>WORKDAY('项目总表'!$B$15-1,5)</x:f>
        <x:v>46318</x:v>
      </x:c>
      <x:c r="H5" s="55" t="n">
        <x:f>WORKDAY('项目总表'!$B$15-1,6)</x:f>
        <x:v>46321</x:v>
      </x:c>
      <x:c r="I5" s="55" t="n">
        <x:f>WORKDAY('项目总表'!$B$15-1,7)</x:f>
        <x:v>46322</x:v>
      </x:c>
      <x:c r="J5" s="55" t="n">
        <x:f>WORKDAY('项目总表'!$B$15-1,8)</x:f>
        <x:v>46323</x:v>
      </x:c>
      <x:c r="K5" s="55" t="n">
        <x:f>WORKDAY('项目总表'!$B$15-1,9)</x:f>
        <x:v>46324</x:v>
      </x:c>
      <x:c r="L5" s="55" t="n">
        <x:f>WORKDAY('项目总表'!$B$15-1,10)</x:f>
        <x:v>46325</x:v>
      </x:c>
      <x:c r="M5" s="55" t="n">
        <x:f>WORKDAY('项目总表'!$B$15-1,11)</x:f>
        <x:v>46328</x:v>
      </x:c>
      <x:c r="N5" s="55" t="n">
        <x:f>WORKDAY('项目总表'!$B$15-1,12)</x:f>
        <x:v>46329</x:v>
      </x:c>
      <x:c r="O5" s="55" t="n">
        <x:f>WORKDAY('项目总表'!$B$15-1,13)</x:f>
        <x:v>46330</x:v>
      </x:c>
      <x:c r="P5" s="55" t="n">
        <x:f>WORKDAY('项目总表'!$B$15-1,14)</x:f>
        <x:v>46331</x:v>
      </x:c>
      <x:c r="Q5" s="55" t="n">
        <x:f>WORKDAY('项目总表'!$B$15-1,15)</x:f>
        <x:v>46332</x:v>
      </x:c>
      <x:c r="R5" s="55" t="n">
        <x:f>WORKDAY('项目总表'!$B$15-1,16)</x:f>
        <x:v>46335</x:v>
      </x:c>
      <x:c r="S5" s="55" t="n">
        <x:f>WORKDAY('项目总表'!$B$15-1,17)</x:f>
        <x:v>46336</x:v>
      </x:c>
      <x:c r="T5" s="55" t="n">
        <x:f>WORKDAY('项目总表'!$B$15-1,18)</x:f>
        <x:v>46337</x:v>
      </x:c>
      <x:c r="U5" s="55" t="n">
        <x:f>WORKDAY('项目总表'!$B$15-1,19)</x:f>
        <x:v>46338</x:v>
      </x:c>
      <x:c r="V5" s="55" t="n">
        <x:f>WORKDAY('项目总表'!$B$15-1,20)</x:f>
        <x:v>46339</x:v>
      </x:c>
      <x:c r="W5" s="55" t="n">
        <x:f>WORKDAY('项目总表'!$B$15-1,21)</x:f>
        <x:v>46342</x:v>
      </x:c>
      <x:c r="X5" s="55" t="n">
        <x:f>WORKDAY('项目总表'!$B$15-1,22)</x:f>
        <x:v>46343</x:v>
      </x:c>
      <x:c r="Y5" s="55" t="n">
        <x:f>WORKDAY('项目总表'!$B$15-1,23)</x:f>
        <x:v>46344</x:v>
      </x:c>
      <x:c r="Z5" s="55" t="n">
        <x:f>WORKDAY('项目总表'!$B$15-1,24)</x:f>
        <x:v>46345</x:v>
      </x:c>
      <x:c r="AA5" s="55" t="n">
        <x:f>WORKDAY('项目总表'!$B$15-1,25)</x:f>
        <x:v>46346</x:v>
      </x:c>
      <x:c r="AB5" s="55" t="n">
        <x:f>WORKDAY('项目总表'!$B$15-1,26)</x:f>
        <x:v>46349</x:v>
      </x:c>
      <x:c r="AC5" s="55" t="n">
        <x:f>WORKDAY('项目总表'!$B$15-1,27)</x:f>
        <x:v>46350</x:v>
      </x:c>
      <x:c r="AD5" s="55" t="n">
        <x:f>WORKDAY('项目总表'!$B$15-1,28)</x:f>
        <x:v>46351</x:v>
      </x:c>
      <x:c r="AE5" s="55" t="n">
        <x:f>WORKDAY('项目总表'!$B$15-1,29)</x:f>
        <x:v>46352</x:v>
      </x:c>
      <x:c r="AF5" s="55" t="n">
        <x:f>WORKDAY('项目总表'!$B$15-1,30)</x:f>
        <x:v>46353</x:v>
      </x:c>
      <x:c r="AG5" s="55" t="n">
        <x:f>WORKDAY('项目总表'!$B$15-1,31)</x:f>
        <x:v>46356</x:v>
      </x:c>
      <x:c r="AH5" s="55" t="n">
        <x:f>WORKDAY('项目总表'!$B$15-1,32)</x:f>
        <x:v>46357</x:v>
      </x:c>
      <x:c r="AI5" s="55" t="n">
        <x:f>WORKDAY('项目总表'!$B$15-1,33)</x:f>
        <x:v>46358</x:v>
      </x:c>
      <x:c r="AJ5" s="55" t="n">
        <x:f>WORKDAY('项目总表'!$B$15-1,34)</x:f>
        <x:v>46359</x:v>
      </x:c>
      <x:c r="AK5" s="55" t="n">
        <x:f>WORKDAY('项目总表'!$B$15-1,35)</x:f>
        <x:v>46360</x:v>
      </x:c>
      <x:c r="AL5" s="55" t="n">
        <x:f>WORKDAY('项目总表'!$B$15-1,36)</x:f>
        <x:v>46363</x:v>
      </x:c>
      <x:c r="AM5" s="55" t="n">
        <x:f>WORKDAY('项目总表'!$B$15-1,37)</x:f>
        <x:v>46364</x:v>
      </x:c>
      <x:c r="AN5" s="55" t="n">
        <x:f>WORKDAY('项目总表'!$B$15-1,38)</x:f>
        <x:v>46365</x:v>
      </x:c>
      <x:c r="AO5" s="55" t="n">
        <x:f>WORKDAY('项目总表'!$B$15-1,39)</x:f>
        <x:v>46366</x:v>
      </x:c>
      <x:c r="AP5" s="55" t="n">
        <x:f>WORKDAY('项目总表'!$B$15-1,40)</x:f>
        <x:v>46367</x:v>
      </x:c>
    </x:row>
    <x:row r="6" ht="38" customHeight="1">
      <x:c r="A6" s="29" t="str">
        <x:f>'任务与甘特'!A7</x:f>
        <x:v>T1.1</x:v>
      </x:c>
      <x:c r="B6" s="29" t="str">
        <x:f>'任务与甘特'!B7</x:f>
        <x:v>核对需求范围与覆盖</x:v>
      </x:c>
      <x:c r="C6" s="56" t="str">
        <x:f>IF(AND(C$5&gt;='任务与甘特'!$T7,C$5&lt;='任务与甘特'!$U7),"■","")</x:f>
        <x:v>■</x:v>
      </x:c>
      <x:c r="D6" s="56" t="str">
        <x:f>IF(AND(D$5&gt;='任务与甘特'!$T7,D$5&lt;='任务与甘特'!$U7),"■","")</x:f>
      </x:c>
      <x:c r="E6" s="56" t="str">
        <x:f>IF(AND(E$5&gt;='任务与甘特'!$T7,E$5&lt;='任务与甘特'!$U7),"■","")</x:f>
      </x:c>
      <x:c r="F6" s="56" t="str">
        <x:f>IF(AND(F$5&gt;='任务与甘特'!$T7,F$5&lt;='任务与甘特'!$U7),"■","")</x:f>
      </x:c>
      <x:c r="G6" s="56" t="str">
        <x:f>IF(AND(G$5&gt;='任务与甘特'!$T7,G$5&lt;='任务与甘特'!$U7),"■","")</x:f>
      </x:c>
      <x:c r="H6" s="56" t="str">
        <x:f>IF(AND(H$5&gt;='任务与甘特'!$T7,H$5&lt;='任务与甘特'!$U7),"■","")</x:f>
      </x:c>
      <x:c r="I6" s="56" t="str">
        <x:f>IF(AND(I$5&gt;='任务与甘特'!$T7,I$5&lt;='任务与甘特'!$U7),"■","")</x:f>
      </x:c>
      <x:c r="J6" s="56" t="str">
        <x:f>IF(AND(J$5&gt;='任务与甘特'!$T7,J$5&lt;='任务与甘特'!$U7),"■","")</x:f>
      </x:c>
      <x:c r="K6" s="56" t="str">
        <x:f>IF(AND(K$5&gt;='任务与甘特'!$T7,K$5&lt;='任务与甘特'!$U7),"■","")</x:f>
      </x:c>
      <x:c r="L6" s="56" t="str">
        <x:f>IF(AND(L$5&gt;='任务与甘特'!$T7,L$5&lt;='任务与甘特'!$U7),"■","")</x:f>
      </x:c>
      <x:c r="M6" s="56" t="str">
        <x:f>IF(AND(M$5&gt;='任务与甘特'!$T7,M$5&lt;='任务与甘特'!$U7),"■","")</x:f>
      </x:c>
      <x:c r="N6" s="56" t="str">
        <x:f>IF(AND(N$5&gt;='任务与甘特'!$T7,N$5&lt;='任务与甘特'!$U7),"■","")</x:f>
      </x:c>
      <x:c r="O6" s="56" t="str">
        <x:f>IF(AND(O$5&gt;='任务与甘特'!$T7,O$5&lt;='任务与甘特'!$U7),"■","")</x:f>
      </x:c>
      <x:c r="P6" s="56" t="str">
        <x:f>IF(AND(P$5&gt;='任务与甘特'!$T7,P$5&lt;='任务与甘特'!$U7),"■","")</x:f>
      </x:c>
      <x:c r="Q6" s="56" t="str">
        <x:f>IF(AND(Q$5&gt;='任务与甘特'!$T7,Q$5&lt;='任务与甘特'!$U7),"■","")</x:f>
      </x:c>
      <x:c r="R6" s="56" t="str">
        <x:f>IF(AND(R$5&gt;='任务与甘特'!$T7,R$5&lt;='任务与甘特'!$U7),"■","")</x:f>
      </x:c>
      <x:c r="S6" s="56" t="str">
        <x:f>IF(AND(S$5&gt;='任务与甘特'!$T7,S$5&lt;='任务与甘特'!$U7),"■","")</x:f>
      </x:c>
      <x:c r="T6" s="56" t="str">
        <x:f>IF(AND(T$5&gt;='任务与甘特'!$T7,T$5&lt;='任务与甘特'!$U7),"■","")</x:f>
      </x:c>
      <x:c r="U6" s="56" t="str">
        <x:f>IF(AND(U$5&gt;='任务与甘特'!$T7,U$5&lt;='任务与甘特'!$U7),"■","")</x:f>
      </x:c>
      <x:c r="V6" s="56" t="str">
        <x:f>IF(AND(V$5&gt;='任务与甘特'!$T7,V$5&lt;='任务与甘特'!$U7),"■","")</x:f>
      </x:c>
      <x:c r="W6" s="56" t="str">
        <x:f>IF(AND(W$5&gt;='任务与甘特'!$T7,W$5&lt;='任务与甘特'!$U7),"■","")</x:f>
      </x:c>
      <x:c r="X6" s="56" t="str">
        <x:f>IF(AND(X$5&gt;='任务与甘特'!$T7,X$5&lt;='任务与甘特'!$U7),"■","")</x:f>
      </x:c>
      <x:c r="Y6" s="56" t="str">
        <x:f>IF(AND(Y$5&gt;='任务与甘特'!$T7,Y$5&lt;='任务与甘特'!$U7),"■","")</x:f>
      </x:c>
      <x:c r="Z6" s="56" t="str">
        <x:f>IF(AND(Z$5&gt;='任务与甘特'!$T7,Z$5&lt;='任务与甘特'!$U7),"■","")</x:f>
      </x:c>
      <x:c r="AA6" s="56" t="str">
        <x:f>IF(AND(AA$5&gt;='任务与甘特'!$T7,AA$5&lt;='任务与甘特'!$U7),"■","")</x:f>
      </x:c>
      <x:c r="AB6" s="56" t="str">
        <x:f>IF(AND(AB$5&gt;='任务与甘特'!$T7,AB$5&lt;='任务与甘特'!$U7),"■","")</x:f>
      </x:c>
      <x:c r="AC6" s="56" t="str">
        <x:f>IF(AND(AC$5&gt;='任务与甘特'!$T7,AC$5&lt;='任务与甘特'!$U7),"■","")</x:f>
      </x:c>
      <x:c r="AD6" s="56" t="str">
        <x:f>IF(AND(AD$5&gt;='任务与甘特'!$T7,AD$5&lt;='任务与甘特'!$U7),"■","")</x:f>
      </x:c>
      <x:c r="AE6" s="56" t="str">
        <x:f>IF(AND(AE$5&gt;='任务与甘特'!$T7,AE$5&lt;='任务与甘特'!$U7),"■","")</x:f>
      </x:c>
      <x:c r="AF6" s="56" t="str">
        <x:f>IF(AND(AF$5&gt;='任务与甘特'!$T7,AF$5&lt;='任务与甘特'!$U7),"■","")</x:f>
      </x:c>
      <x:c r="AG6" s="56" t="str">
        <x:f>IF(AND(AG$5&gt;='任务与甘特'!$T7,AG$5&lt;='任务与甘特'!$U7),"■","")</x:f>
      </x:c>
      <x:c r="AH6" s="56" t="str">
        <x:f>IF(AND(AH$5&gt;='任务与甘特'!$T7,AH$5&lt;='任务与甘特'!$U7),"■","")</x:f>
      </x:c>
      <x:c r="AI6" s="56" t="str">
        <x:f>IF(AND(AI$5&gt;='任务与甘特'!$T7,AI$5&lt;='任务与甘特'!$U7),"■","")</x:f>
      </x:c>
      <x:c r="AJ6" s="56" t="str">
        <x:f>IF(AND(AJ$5&gt;='任务与甘特'!$T7,AJ$5&lt;='任务与甘特'!$U7),"■","")</x:f>
      </x:c>
      <x:c r="AK6" s="56" t="str">
        <x:f>IF(AND(AK$5&gt;='任务与甘特'!$T7,AK$5&lt;='任务与甘特'!$U7),"■","")</x:f>
      </x:c>
      <x:c r="AL6" s="56" t="str">
        <x:f>IF(AND(AL$5&gt;='任务与甘特'!$T7,AL$5&lt;='任务与甘特'!$U7),"■","")</x:f>
      </x:c>
      <x:c r="AM6" s="56" t="str">
        <x:f>IF(AND(AM$5&gt;='任务与甘特'!$T7,AM$5&lt;='任务与甘特'!$U7),"■","")</x:f>
      </x:c>
      <x:c r="AN6" s="56" t="str">
        <x:f>IF(AND(AN$5&gt;='任务与甘特'!$T7,AN$5&lt;='任务与甘特'!$U7),"■","")</x:f>
      </x:c>
      <x:c r="AO6" s="56" t="str">
        <x:f>IF(AND(AO$5&gt;='任务与甘特'!$T7,AO$5&lt;='任务与甘特'!$U7),"■","")</x:f>
      </x:c>
      <x:c r="AP6" s="56" t="str">
        <x:f>IF(AND(AP$5&gt;='任务与甘特'!$T7,AP$5&lt;='任务与甘特'!$U7),"■","")</x:f>
      </x:c>
    </x:row>
    <x:row r="7" ht="38" customHeight="1">
      <x:c r="A7" s="29" t="str">
        <x:f>'任务与甘特'!A8</x:f>
        <x:v>T1.2</x:v>
      </x:c>
      <x:c r="B7" s="29" t="str">
        <x:f>'任务与甘特'!B8</x:f>
        <x:v>形成WBS与项目计划初稿</x:v>
      </x:c>
      <x:c r="C7" s="56" t="str">
        <x:f>IF(AND(C$5&gt;='任务与甘特'!$T8,C$5&lt;='任务与甘特'!$U8),"■","")</x:f>
      </x:c>
      <x:c r="D7" s="56" t="str">
        <x:f>IF(AND(D$5&gt;='任务与甘特'!$T8,D$5&lt;='任务与甘特'!$U8),"■","")</x:f>
        <x:v>■</x:v>
      </x:c>
      <x:c r="E7" s="56" t="str">
        <x:f>IF(AND(E$5&gt;='任务与甘特'!$T8,E$5&lt;='任务与甘特'!$U8),"■","")</x:f>
        <x:v>■</x:v>
      </x:c>
      <x:c r="F7" s="56" t="str">
        <x:f>IF(AND(F$5&gt;='任务与甘特'!$T8,F$5&lt;='任务与甘特'!$U8),"■","")</x:f>
      </x:c>
      <x:c r="G7" s="56" t="str">
        <x:f>IF(AND(G$5&gt;='任务与甘特'!$T8,G$5&lt;='任务与甘特'!$U8),"■","")</x:f>
      </x:c>
      <x:c r="H7" s="56" t="str">
        <x:f>IF(AND(H$5&gt;='任务与甘特'!$T8,H$5&lt;='任务与甘特'!$U8),"■","")</x:f>
      </x:c>
      <x:c r="I7" s="56" t="str">
        <x:f>IF(AND(I$5&gt;='任务与甘特'!$T8,I$5&lt;='任务与甘特'!$U8),"■","")</x:f>
      </x:c>
      <x:c r="J7" s="56" t="str">
        <x:f>IF(AND(J$5&gt;='任务与甘特'!$T8,J$5&lt;='任务与甘特'!$U8),"■","")</x:f>
      </x:c>
      <x:c r="K7" s="56" t="str">
        <x:f>IF(AND(K$5&gt;='任务与甘特'!$T8,K$5&lt;='任务与甘特'!$U8),"■","")</x:f>
      </x:c>
      <x:c r="L7" s="56" t="str">
        <x:f>IF(AND(L$5&gt;='任务与甘特'!$T8,L$5&lt;='任务与甘特'!$U8),"■","")</x:f>
      </x:c>
      <x:c r="M7" s="56" t="str">
        <x:f>IF(AND(M$5&gt;='任务与甘特'!$T8,M$5&lt;='任务与甘特'!$U8),"■","")</x:f>
      </x:c>
      <x:c r="N7" s="56" t="str">
        <x:f>IF(AND(N$5&gt;='任务与甘特'!$T8,N$5&lt;='任务与甘特'!$U8),"■","")</x:f>
      </x:c>
      <x:c r="O7" s="56" t="str">
        <x:f>IF(AND(O$5&gt;='任务与甘特'!$T8,O$5&lt;='任务与甘特'!$U8),"■","")</x:f>
      </x:c>
      <x:c r="P7" s="56" t="str">
        <x:f>IF(AND(P$5&gt;='任务与甘特'!$T8,P$5&lt;='任务与甘特'!$U8),"■","")</x:f>
      </x:c>
      <x:c r="Q7" s="56" t="str">
        <x:f>IF(AND(Q$5&gt;='任务与甘特'!$T8,Q$5&lt;='任务与甘特'!$U8),"■","")</x:f>
      </x:c>
      <x:c r="R7" s="56" t="str">
        <x:f>IF(AND(R$5&gt;='任务与甘特'!$T8,R$5&lt;='任务与甘特'!$U8),"■","")</x:f>
      </x:c>
      <x:c r="S7" s="56" t="str">
        <x:f>IF(AND(S$5&gt;='任务与甘特'!$T8,S$5&lt;='任务与甘特'!$U8),"■","")</x:f>
      </x:c>
      <x:c r="T7" s="56" t="str">
        <x:f>IF(AND(T$5&gt;='任务与甘特'!$T8,T$5&lt;='任务与甘特'!$U8),"■","")</x:f>
      </x:c>
      <x:c r="U7" s="56" t="str">
        <x:f>IF(AND(U$5&gt;='任务与甘特'!$T8,U$5&lt;='任务与甘特'!$U8),"■","")</x:f>
      </x:c>
      <x:c r="V7" s="56" t="str">
        <x:f>IF(AND(V$5&gt;='任务与甘特'!$T8,V$5&lt;='任务与甘特'!$U8),"■","")</x:f>
      </x:c>
      <x:c r="W7" s="56" t="str">
        <x:f>IF(AND(W$5&gt;='任务与甘特'!$T8,W$5&lt;='任务与甘特'!$U8),"■","")</x:f>
      </x:c>
      <x:c r="X7" s="56" t="str">
        <x:f>IF(AND(X$5&gt;='任务与甘特'!$T8,X$5&lt;='任务与甘特'!$U8),"■","")</x:f>
      </x:c>
      <x:c r="Y7" s="56" t="str">
        <x:f>IF(AND(Y$5&gt;='任务与甘特'!$T8,Y$5&lt;='任务与甘特'!$U8),"■","")</x:f>
      </x:c>
      <x:c r="Z7" s="56" t="str">
        <x:f>IF(AND(Z$5&gt;='任务与甘特'!$T8,Z$5&lt;='任务与甘特'!$U8),"■","")</x:f>
      </x:c>
      <x:c r="AA7" s="56" t="str">
        <x:f>IF(AND(AA$5&gt;='任务与甘特'!$T8,AA$5&lt;='任务与甘特'!$U8),"■","")</x:f>
      </x:c>
      <x:c r="AB7" s="56" t="str">
        <x:f>IF(AND(AB$5&gt;='任务与甘特'!$T8,AB$5&lt;='任务与甘特'!$U8),"■","")</x:f>
      </x:c>
      <x:c r="AC7" s="56" t="str">
        <x:f>IF(AND(AC$5&gt;='任务与甘特'!$T8,AC$5&lt;='任务与甘特'!$U8),"■","")</x:f>
      </x:c>
      <x:c r="AD7" s="56" t="str">
        <x:f>IF(AND(AD$5&gt;='任务与甘特'!$T8,AD$5&lt;='任务与甘特'!$U8),"■","")</x:f>
      </x:c>
      <x:c r="AE7" s="56" t="str">
        <x:f>IF(AND(AE$5&gt;='任务与甘特'!$T8,AE$5&lt;='任务与甘特'!$U8),"■","")</x:f>
      </x:c>
      <x:c r="AF7" s="56" t="str">
        <x:f>IF(AND(AF$5&gt;='任务与甘特'!$T8,AF$5&lt;='任务与甘特'!$U8),"■","")</x:f>
      </x:c>
      <x:c r="AG7" s="56" t="str">
        <x:f>IF(AND(AG$5&gt;='任务与甘特'!$T8,AG$5&lt;='任务与甘特'!$U8),"■","")</x:f>
      </x:c>
      <x:c r="AH7" s="56" t="str">
        <x:f>IF(AND(AH$5&gt;='任务与甘特'!$T8,AH$5&lt;='任务与甘特'!$U8),"■","")</x:f>
      </x:c>
      <x:c r="AI7" s="56" t="str">
        <x:f>IF(AND(AI$5&gt;='任务与甘特'!$T8,AI$5&lt;='任务与甘特'!$U8),"■","")</x:f>
      </x:c>
      <x:c r="AJ7" s="56" t="str">
        <x:f>IF(AND(AJ$5&gt;='任务与甘特'!$T8,AJ$5&lt;='任务与甘特'!$U8),"■","")</x:f>
      </x:c>
      <x:c r="AK7" s="56" t="str">
        <x:f>IF(AND(AK$5&gt;='任务与甘特'!$T8,AK$5&lt;='任务与甘特'!$U8),"■","")</x:f>
      </x:c>
      <x:c r="AL7" s="56" t="str">
        <x:f>IF(AND(AL$5&gt;='任务与甘特'!$T8,AL$5&lt;='任务与甘特'!$U8),"■","")</x:f>
      </x:c>
      <x:c r="AM7" s="56" t="str">
        <x:f>IF(AND(AM$5&gt;='任务与甘特'!$T8,AM$5&lt;='任务与甘特'!$U8),"■","")</x:f>
      </x:c>
      <x:c r="AN7" s="56" t="str">
        <x:f>IF(AND(AN$5&gt;='任务与甘特'!$T8,AN$5&lt;='任务与甘特'!$U8),"■","")</x:f>
      </x:c>
      <x:c r="AO7" s="56" t="str">
        <x:f>IF(AND(AO$5&gt;='任务与甘特'!$T8,AO$5&lt;='任务与甘特'!$U8),"■","")</x:f>
      </x:c>
      <x:c r="AP7" s="56" t="str">
        <x:f>IF(AND(AP$5&gt;='任务与甘特'!$T8,AP$5&lt;='任务与甘特'!$U8),"■","")</x:f>
      </x:c>
    </x:row>
    <x:row r="8" ht="38" customHeight="1">
      <x:c r="A8" s="29" t="str">
        <x:f>'任务与甘特'!A9</x:f>
        <x:v>T1.3</x:v>
      </x:c>
      <x:c r="B8" s="29" t="str">
        <x:f>'任务与甘特'!B9</x:f>
        <x:v>编写测试大纲与合成数据方案</x:v>
      </x:c>
      <x:c r="C8" s="56" t="str">
        <x:f>IF(AND(C$5&gt;='任务与甘特'!$T9,C$5&lt;='任务与甘特'!$U9),"■","")</x:f>
      </x:c>
      <x:c r="D8" s="56" t="str">
        <x:f>IF(AND(D$5&gt;='任务与甘特'!$T9,D$5&lt;='任务与甘特'!$U9),"■","")</x:f>
        <x:v>■</x:v>
      </x:c>
      <x:c r="E8" s="56" t="str">
        <x:f>IF(AND(E$5&gt;='任务与甘特'!$T9,E$5&lt;='任务与甘特'!$U9),"■","")</x:f>
        <x:v>■</x:v>
      </x:c>
      <x:c r="F8" s="56" t="str">
        <x:f>IF(AND(F$5&gt;='任务与甘特'!$T9,F$5&lt;='任务与甘特'!$U9),"■","")</x:f>
        <x:v>■</x:v>
      </x:c>
      <x:c r="G8" s="56" t="str">
        <x:f>IF(AND(G$5&gt;='任务与甘特'!$T9,G$5&lt;='任务与甘特'!$U9),"■","")</x:f>
      </x:c>
      <x:c r="H8" s="56" t="str">
        <x:f>IF(AND(H$5&gt;='任务与甘特'!$T9,H$5&lt;='任务与甘特'!$U9),"■","")</x:f>
      </x:c>
      <x:c r="I8" s="56" t="str">
        <x:f>IF(AND(I$5&gt;='任务与甘特'!$T9,I$5&lt;='任务与甘特'!$U9),"■","")</x:f>
      </x:c>
      <x:c r="J8" s="56" t="str">
        <x:f>IF(AND(J$5&gt;='任务与甘特'!$T9,J$5&lt;='任务与甘特'!$U9),"■","")</x:f>
      </x:c>
      <x:c r="K8" s="56" t="str">
        <x:f>IF(AND(K$5&gt;='任务与甘特'!$T9,K$5&lt;='任务与甘特'!$U9),"■","")</x:f>
      </x:c>
      <x:c r="L8" s="56" t="str">
        <x:f>IF(AND(L$5&gt;='任务与甘特'!$T9,L$5&lt;='任务与甘特'!$U9),"■","")</x:f>
      </x:c>
      <x:c r="M8" s="56" t="str">
        <x:f>IF(AND(M$5&gt;='任务与甘特'!$T9,M$5&lt;='任务与甘特'!$U9),"■","")</x:f>
      </x:c>
      <x:c r="N8" s="56" t="str">
        <x:f>IF(AND(N$5&gt;='任务与甘特'!$T9,N$5&lt;='任务与甘特'!$U9),"■","")</x:f>
      </x:c>
      <x:c r="O8" s="56" t="str">
        <x:f>IF(AND(O$5&gt;='任务与甘特'!$T9,O$5&lt;='任务与甘特'!$U9),"■","")</x:f>
      </x:c>
      <x:c r="P8" s="56" t="str">
        <x:f>IF(AND(P$5&gt;='任务与甘特'!$T9,P$5&lt;='任务与甘特'!$U9),"■","")</x:f>
      </x:c>
      <x:c r="Q8" s="56" t="str">
        <x:f>IF(AND(Q$5&gt;='任务与甘特'!$T9,Q$5&lt;='任务与甘特'!$U9),"■","")</x:f>
      </x:c>
      <x:c r="R8" s="56" t="str">
        <x:f>IF(AND(R$5&gt;='任务与甘特'!$T9,R$5&lt;='任务与甘特'!$U9),"■","")</x:f>
      </x:c>
      <x:c r="S8" s="56" t="str">
        <x:f>IF(AND(S$5&gt;='任务与甘特'!$T9,S$5&lt;='任务与甘特'!$U9),"■","")</x:f>
      </x:c>
      <x:c r="T8" s="56" t="str">
        <x:f>IF(AND(T$5&gt;='任务与甘特'!$T9,T$5&lt;='任务与甘特'!$U9),"■","")</x:f>
      </x:c>
      <x:c r="U8" s="56" t="str">
        <x:f>IF(AND(U$5&gt;='任务与甘特'!$T9,U$5&lt;='任务与甘特'!$U9),"■","")</x:f>
      </x:c>
      <x:c r="V8" s="56" t="str">
        <x:f>IF(AND(V$5&gt;='任务与甘特'!$T9,V$5&lt;='任务与甘特'!$U9),"■","")</x:f>
      </x:c>
      <x:c r="W8" s="56" t="str">
        <x:f>IF(AND(W$5&gt;='任务与甘特'!$T9,W$5&lt;='任务与甘特'!$U9),"■","")</x:f>
      </x:c>
      <x:c r="X8" s="56" t="str">
        <x:f>IF(AND(X$5&gt;='任务与甘特'!$T9,X$5&lt;='任务与甘特'!$U9),"■","")</x:f>
      </x:c>
      <x:c r="Y8" s="56" t="str">
        <x:f>IF(AND(Y$5&gt;='任务与甘特'!$T9,Y$5&lt;='任务与甘特'!$U9),"■","")</x:f>
      </x:c>
      <x:c r="Z8" s="56" t="str">
        <x:f>IF(AND(Z$5&gt;='任务与甘特'!$T9,Z$5&lt;='任务与甘特'!$U9),"■","")</x:f>
      </x:c>
      <x:c r="AA8" s="56" t="str">
        <x:f>IF(AND(AA$5&gt;='任务与甘特'!$T9,AA$5&lt;='任务与甘特'!$U9),"■","")</x:f>
      </x:c>
      <x:c r="AB8" s="56" t="str">
        <x:f>IF(AND(AB$5&gt;='任务与甘特'!$T9,AB$5&lt;='任务与甘特'!$U9),"■","")</x:f>
      </x:c>
      <x:c r="AC8" s="56" t="str">
        <x:f>IF(AND(AC$5&gt;='任务与甘特'!$T9,AC$5&lt;='任务与甘特'!$U9),"■","")</x:f>
      </x:c>
      <x:c r="AD8" s="56" t="str">
        <x:f>IF(AND(AD$5&gt;='任务与甘特'!$T9,AD$5&lt;='任务与甘特'!$U9),"■","")</x:f>
      </x:c>
      <x:c r="AE8" s="56" t="str">
        <x:f>IF(AND(AE$5&gt;='任务与甘特'!$T9,AE$5&lt;='任务与甘特'!$U9),"■","")</x:f>
      </x:c>
      <x:c r="AF8" s="56" t="str">
        <x:f>IF(AND(AF$5&gt;='任务与甘特'!$T9,AF$5&lt;='任务与甘特'!$U9),"■","")</x:f>
      </x:c>
      <x:c r="AG8" s="56" t="str">
        <x:f>IF(AND(AG$5&gt;='任务与甘特'!$T9,AG$5&lt;='任务与甘特'!$U9),"■","")</x:f>
      </x:c>
      <x:c r="AH8" s="56" t="str">
        <x:f>IF(AND(AH$5&gt;='任务与甘特'!$T9,AH$5&lt;='任务与甘特'!$U9),"■","")</x:f>
      </x:c>
      <x:c r="AI8" s="56" t="str">
        <x:f>IF(AND(AI$5&gt;='任务与甘特'!$T9,AI$5&lt;='任务与甘特'!$U9),"■","")</x:f>
      </x:c>
      <x:c r="AJ8" s="56" t="str">
        <x:f>IF(AND(AJ$5&gt;='任务与甘特'!$T9,AJ$5&lt;='任务与甘特'!$U9),"■","")</x:f>
      </x:c>
      <x:c r="AK8" s="56" t="str">
        <x:f>IF(AND(AK$5&gt;='任务与甘特'!$T9,AK$5&lt;='任务与甘特'!$U9),"■","")</x:f>
      </x:c>
      <x:c r="AL8" s="56" t="str">
        <x:f>IF(AND(AL$5&gt;='任务与甘特'!$T9,AL$5&lt;='任务与甘特'!$U9),"■","")</x:f>
      </x:c>
      <x:c r="AM8" s="56" t="str">
        <x:f>IF(AND(AM$5&gt;='任务与甘特'!$T9,AM$5&lt;='任务与甘特'!$U9),"■","")</x:f>
      </x:c>
      <x:c r="AN8" s="56" t="str">
        <x:f>IF(AND(AN$5&gt;='任务与甘特'!$T9,AN$5&lt;='任务与甘特'!$U9),"■","")</x:f>
      </x:c>
      <x:c r="AO8" s="56" t="str">
        <x:f>IF(AND(AO$5&gt;='任务与甘特'!$T9,AO$5&lt;='任务与甘特'!$U9),"■","")</x:f>
      </x:c>
      <x:c r="AP8" s="56" t="str">
        <x:f>IF(AND(AP$5&gt;='任务与甘特'!$T9,AP$5&lt;='任务与甘特'!$U9),"■","")</x:f>
      </x:c>
    </x:row>
    <x:row r="9" ht="38" customHeight="1">
      <x:c r="A9" s="29" t="str">
        <x:f>'任务与甘特'!A10</x:f>
        <x:v>T2.1</x:v>
      </x:c>
      <x:c r="B9" s="29" t="str">
        <x:f>'任务与甘特'!B10</x:f>
        <x:v>总体架构与模块设计</x:v>
      </x:c>
      <x:c r="C9" s="56" t="str">
        <x:f>IF(AND(C$5&gt;='任务与甘特'!$T10,C$5&lt;='任务与甘特'!$U10),"■","")</x:f>
      </x:c>
      <x:c r="D9" s="56" t="str">
        <x:f>IF(AND(D$5&gt;='任务与甘特'!$T10,D$5&lt;='任务与甘特'!$U10),"■","")</x:f>
        <x:v>■</x:v>
      </x:c>
      <x:c r="E9" s="56" t="str">
        <x:f>IF(AND(E$5&gt;='任务与甘特'!$T10,E$5&lt;='任务与甘特'!$U10),"■","")</x:f>
        <x:v>■</x:v>
      </x:c>
      <x:c r="F9" s="56" t="str">
        <x:f>IF(AND(F$5&gt;='任务与甘特'!$T10,F$5&lt;='任务与甘特'!$U10),"■","")</x:f>
      </x:c>
      <x:c r="G9" s="56" t="str">
        <x:f>IF(AND(G$5&gt;='任务与甘特'!$T10,G$5&lt;='任务与甘特'!$U10),"■","")</x:f>
      </x:c>
      <x:c r="H9" s="56" t="str">
        <x:f>IF(AND(H$5&gt;='任务与甘特'!$T10,H$5&lt;='任务与甘特'!$U10),"■","")</x:f>
      </x:c>
      <x:c r="I9" s="56" t="str">
        <x:f>IF(AND(I$5&gt;='任务与甘特'!$T10,I$5&lt;='任务与甘特'!$U10),"■","")</x:f>
      </x:c>
      <x:c r="J9" s="56" t="str">
        <x:f>IF(AND(J$5&gt;='任务与甘特'!$T10,J$5&lt;='任务与甘特'!$U10),"■","")</x:f>
      </x:c>
      <x:c r="K9" s="56" t="str">
        <x:f>IF(AND(K$5&gt;='任务与甘特'!$T10,K$5&lt;='任务与甘特'!$U10),"■","")</x:f>
      </x:c>
      <x:c r="L9" s="56" t="str">
        <x:f>IF(AND(L$5&gt;='任务与甘特'!$T10,L$5&lt;='任务与甘特'!$U10),"■","")</x:f>
      </x:c>
      <x:c r="M9" s="56" t="str">
        <x:f>IF(AND(M$5&gt;='任务与甘特'!$T10,M$5&lt;='任务与甘特'!$U10),"■","")</x:f>
      </x:c>
      <x:c r="N9" s="56" t="str">
        <x:f>IF(AND(N$5&gt;='任务与甘特'!$T10,N$5&lt;='任务与甘特'!$U10),"■","")</x:f>
      </x:c>
      <x:c r="O9" s="56" t="str">
        <x:f>IF(AND(O$5&gt;='任务与甘特'!$T10,O$5&lt;='任务与甘特'!$U10),"■","")</x:f>
      </x:c>
      <x:c r="P9" s="56" t="str">
        <x:f>IF(AND(P$5&gt;='任务与甘特'!$T10,P$5&lt;='任务与甘特'!$U10),"■","")</x:f>
      </x:c>
      <x:c r="Q9" s="56" t="str">
        <x:f>IF(AND(Q$5&gt;='任务与甘特'!$T10,Q$5&lt;='任务与甘特'!$U10),"■","")</x:f>
      </x:c>
      <x:c r="R9" s="56" t="str">
        <x:f>IF(AND(R$5&gt;='任务与甘特'!$T10,R$5&lt;='任务与甘特'!$U10),"■","")</x:f>
      </x:c>
      <x:c r="S9" s="56" t="str">
        <x:f>IF(AND(S$5&gt;='任务与甘特'!$T10,S$5&lt;='任务与甘特'!$U10),"■","")</x:f>
      </x:c>
      <x:c r="T9" s="56" t="str">
        <x:f>IF(AND(T$5&gt;='任务与甘特'!$T10,T$5&lt;='任务与甘特'!$U10),"■","")</x:f>
      </x:c>
      <x:c r="U9" s="56" t="str">
        <x:f>IF(AND(U$5&gt;='任务与甘特'!$T10,U$5&lt;='任务与甘特'!$U10),"■","")</x:f>
      </x:c>
      <x:c r="V9" s="56" t="str">
        <x:f>IF(AND(V$5&gt;='任务与甘特'!$T10,V$5&lt;='任务与甘特'!$U10),"■","")</x:f>
      </x:c>
      <x:c r="W9" s="56" t="str">
        <x:f>IF(AND(W$5&gt;='任务与甘特'!$T10,W$5&lt;='任务与甘特'!$U10),"■","")</x:f>
      </x:c>
      <x:c r="X9" s="56" t="str">
        <x:f>IF(AND(X$5&gt;='任务与甘特'!$T10,X$5&lt;='任务与甘特'!$U10),"■","")</x:f>
      </x:c>
      <x:c r="Y9" s="56" t="str">
        <x:f>IF(AND(Y$5&gt;='任务与甘特'!$T10,Y$5&lt;='任务与甘特'!$U10),"■","")</x:f>
      </x:c>
      <x:c r="Z9" s="56" t="str">
        <x:f>IF(AND(Z$5&gt;='任务与甘特'!$T10,Z$5&lt;='任务与甘特'!$U10),"■","")</x:f>
      </x:c>
      <x:c r="AA9" s="56" t="str">
        <x:f>IF(AND(AA$5&gt;='任务与甘特'!$T10,AA$5&lt;='任务与甘特'!$U10),"■","")</x:f>
      </x:c>
      <x:c r="AB9" s="56" t="str">
        <x:f>IF(AND(AB$5&gt;='任务与甘特'!$T10,AB$5&lt;='任务与甘特'!$U10),"■","")</x:f>
      </x:c>
      <x:c r="AC9" s="56" t="str">
        <x:f>IF(AND(AC$5&gt;='任务与甘特'!$T10,AC$5&lt;='任务与甘特'!$U10),"■","")</x:f>
      </x:c>
      <x:c r="AD9" s="56" t="str">
        <x:f>IF(AND(AD$5&gt;='任务与甘特'!$T10,AD$5&lt;='任务与甘特'!$U10),"■","")</x:f>
      </x:c>
      <x:c r="AE9" s="56" t="str">
        <x:f>IF(AND(AE$5&gt;='任务与甘特'!$T10,AE$5&lt;='任务与甘特'!$U10),"■","")</x:f>
      </x:c>
      <x:c r="AF9" s="56" t="str">
        <x:f>IF(AND(AF$5&gt;='任务与甘特'!$T10,AF$5&lt;='任务与甘特'!$U10),"■","")</x:f>
      </x:c>
      <x:c r="AG9" s="56" t="str">
        <x:f>IF(AND(AG$5&gt;='任务与甘特'!$T10,AG$5&lt;='任务与甘特'!$U10),"■","")</x:f>
      </x:c>
      <x:c r="AH9" s="56" t="str">
        <x:f>IF(AND(AH$5&gt;='任务与甘特'!$T10,AH$5&lt;='任务与甘特'!$U10),"■","")</x:f>
      </x:c>
      <x:c r="AI9" s="56" t="str">
        <x:f>IF(AND(AI$5&gt;='任务与甘特'!$T10,AI$5&lt;='任务与甘特'!$U10),"■","")</x:f>
      </x:c>
      <x:c r="AJ9" s="56" t="str">
        <x:f>IF(AND(AJ$5&gt;='任务与甘特'!$T10,AJ$5&lt;='任务与甘特'!$U10),"■","")</x:f>
      </x:c>
      <x:c r="AK9" s="56" t="str">
        <x:f>IF(AND(AK$5&gt;='任务与甘特'!$T10,AK$5&lt;='任务与甘特'!$U10),"■","")</x:f>
      </x:c>
      <x:c r="AL9" s="56" t="str">
        <x:f>IF(AND(AL$5&gt;='任务与甘特'!$T10,AL$5&lt;='任务与甘特'!$U10),"■","")</x:f>
      </x:c>
      <x:c r="AM9" s="56" t="str">
        <x:f>IF(AND(AM$5&gt;='任务与甘特'!$T10,AM$5&lt;='任务与甘特'!$U10),"■","")</x:f>
      </x:c>
      <x:c r="AN9" s="56" t="str">
        <x:f>IF(AND(AN$5&gt;='任务与甘特'!$T10,AN$5&lt;='任务与甘特'!$U10),"■","")</x:f>
      </x:c>
      <x:c r="AO9" s="56" t="str">
        <x:f>IF(AND(AO$5&gt;='任务与甘特'!$T10,AO$5&lt;='任务与甘特'!$U10),"■","")</x:f>
      </x:c>
      <x:c r="AP9" s="56" t="str">
        <x:f>IF(AND(AP$5&gt;='任务与甘特'!$T10,AP$5&lt;='任务与甘特'!$U10),"■","")</x:f>
      </x:c>
    </x:row>
    <x:row r="10" ht="38" customHeight="1">
      <x:c r="A10" s="29" t="str">
        <x:f>'任务与甘特'!A11</x:f>
        <x:v>T2.2</x:v>
      </x:c>
      <x:c r="B10" s="29" t="str">
        <x:f>'任务与甘特'!B11</x:f>
        <x:v>数据模型、版本与事务设计</x:v>
      </x:c>
      <x:c r="C10" s="56" t="str">
        <x:f>IF(AND(C$5&gt;='任务与甘特'!$T11,C$5&lt;='任务与甘特'!$U11),"■","")</x:f>
      </x:c>
      <x:c r="D10" s="56" t="str">
        <x:f>IF(AND(D$5&gt;='任务与甘特'!$T11,D$5&lt;='任务与甘特'!$U11),"■","")</x:f>
      </x:c>
      <x:c r="E10" s="56" t="str">
        <x:f>IF(AND(E$5&gt;='任务与甘特'!$T11,E$5&lt;='任务与甘特'!$U11),"■","")</x:f>
      </x:c>
      <x:c r="F10" s="56" t="str">
        <x:f>IF(AND(F$5&gt;='任务与甘特'!$T11,F$5&lt;='任务与甘特'!$U11),"■","")</x:f>
        <x:v>■</x:v>
      </x:c>
      <x:c r="G10" s="56" t="str">
        <x:f>IF(AND(G$5&gt;='任务与甘特'!$T11,G$5&lt;='任务与甘特'!$U11),"■","")</x:f>
        <x:v>■</x:v>
      </x:c>
      <x:c r="H10" s="56" t="str">
        <x:f>IF(AND(H$5&gt;='任务与甘特'!$T11,H$5&lt;='任务与甘特'!$U11),"■","")</x:f>
      </x:c>
      <x:c r="I10" s="56" t="str">
        <x:f>IF(AND(I$5&gt;='任务与甘特'!$T11,I$5&lt;='任务与甘特'!$U11),"■","")</x:f>
      </x:c>
      <x:c r="J10" s="56" t="str">
        <x:f>IF(AND(J$5&gt;='任务与甘特'!$T11,J$5&lt;='任务与甘特'!$U11),"■","")</x:f>
      </x:c>
      <x:c r="K10" s="56" t="str">
        <x:f>IF(AND(K$5&gt;='任务与甘特'!$T11,K$5&lt;='任务与甘特'!$U11),"■","")</x:f>
      </x:c>
      <x:c r="L10" s="56" t="str">
        <x:f>IF(AND(L$5&gt;='任务与甘特'!$T11,L$5&lt;='任务与甘特'!$U11),"■","")</x:f>
      </x:c>
      <x:c r="M10" s="56" t="str">
        <x:f>IF(AND(M$5&gt;='任务与甘特'!$T11,M$5&lt;='任务与甘特'!$U11),"■","")</x:f>
      </x:c>
      <x:c r="N10" s="56" t="str">
        <x:f>IF(AND(N$5&gt;='任务与甘特'!$T11,N$5&lt;='任务与甘特'!$U11),"■","")</x:f>
      </x:c>
      <x:c r="O10" s="56" t="str">
        <x:f>IF(AND(O$5&gt;='任务与甘特'!$T11,O$5&lt;='任务与甘特'!$U11),"■","")</x:f>
      </x:c>
      <x:c r="P10" s="56" t="str">
        <x:f>IF(AND(P$5&gt;='任务与甘特'!$T11,P$5&lt;='任务与甘特'!$U11),"■","")</x:f>
      </x:c>
      <x:c r="Q10" s="56" t="str">
        <x:f>IF(AND(Q$5&gt;='任务与甘特'!$T11,Q$5&lt;='任务与甘特'!$U11),"■","")</x:f>
      </x:c>
      <x:c r="R10" s="56" t="str">
        <x:f>IF(AND(R$5&gt;='任务与甘特'!$T11,R$5&lt;='任务与甘特'!$U11),"■","")</x:f>
      </x:c>
      <x:c r="S10" s="56" t="str">
        <x:f>IF(AND(S$5&gt;='任务与甘特'!$T11,S$5&lt;='任务与甘特'!$U11),"■","")</x:f>
      </x:c>
      <x:c r="T10" s="56" t="str">
        <x:f>IF(AND(T$5&gt;='任务与甘特'!$T11,T$5&lt;='任务与甘特'!$U11),"■","")</x:f>
      </x:c>
      <x:c r="U10" s="56" t="str">
        <x:f>IF(AND(U$5&gt;='任务与甘特'!$T11,U$5&lt;='任务与甘特'!$U11),"■","")</x:f>
      </x:c>
      <x:c r="V10" s="56" t="str">
        <x:f>IF(AND(V$5&gt;='任务与甘特'!$T11,V$5&lt;='任务与甘特'!$U11),"■","")</x:f>
      </x:c>
      <x:c r="W10" s="56" t="str">
        <x:f>IF(AND(W$5&gt;='任务与甘特'!$T11,W$5&lt;='任务与甘特'!$U11),"■","")</x:f>
      </x:c>
      <x:c r="X10" s="56" t="str">
        <x:f>IF(AND(X$5&gt;='任务与甘特'!$T11,X$5&lt;='任务与甘特'!$U11),"■","")</x:f>
      </x:c>
      <x:c r="Y10" s="56" t="str">
        <x:f>IF(AND(Y$5&gt;='任务与甘特'!$T11,Y$5&lt;='任务与甘特'!$U11),"■","")</x:f>
      </x:c>
      <x:c r="Z10" s="56" t="str">
        <x:f>IF(AND(Z$5&gt;='任务与甘特'!$T11,Z$5&lt;='任务与甘特'!$U11),"■","")</x:f>
      </x:c>
      <x:c r="AA10" s="56" t="str">
        <x:f>IF(AND(AA$5&gt;='任务与甘特'!$T11,AA$5&lt;='任务与甘特'!$U11),"■","")</x:f>
      </x:c>
      <x:c r="AB10" s="56" t="str">
        <x:f>IF(AND(AB$5&gt;='任务与甘特'!$T11,AB$5&lt;='任务与甘特'!$U11),"■","")</x:f>
      </x:c>
      <x:c r="AC10" s="56" t="str">
        <x:f>IF(AND(AC$5&gt;='任务与甘特'!$T11,AC$5&lt;='任务与甘特'!$U11),"■","")</x:f>
      </x:c>
      <x:c r="AD10" s="56" t="str">
        <x:f>IF(AND(AD$5&gt;='任务与甘特'!$T11,AD$5&lt;='任务与甘特'!$U11),"■","")</x:f>
      </x:c>
      <x:c r="AE10" s="56" t="str">
        <x:f>IF(AND(AE$5&gt;='任务与甘特'!$T11,AE$5&lt;='任务与甘特'!$U11),"■","")</x:f>
      </x:c>
      <x:c r="AF10" s="56" t="str">
        <x:f>IF(AND(AF$5&gt;='任务与甘特'!$T11,AF$5&lt;='任务与甘特'!$U11),"■","")</x:f>
      </x:c>
      <x:c r="AG10" s="56" t="str">
        <x:f>IF(AND(AG$5&gt;='任务与甘特'!$T11,AG$5&lt;='任务与甘特'!$U11),"■","")</x:f>
      </x:c>
      <x:c r="AH10" s="56" t="str">
        <x:f>IF(AND(AH$5&gt;='任务与甘特'!$T11,AH$5&lt;='任务与甘特'!$U11),"■","")</x:f>
      </x:c>
      <x:c r="AI10" s="56" t="str">
        <x:f>IF(AND(AI$5&gt;='任务与甘特'!$T11,AI$5&lt;='任务与甘特'!$U11),"■","")</x:f>
      </x:c>
      <x:c r="AJ10" s="56" t="str">
        <x:f>IF(AND(AJ$5&gt;='任务与甘特'!$T11,AJ$5&lt;='任务与甘特'!$U11),"■","")</x:f>
      </x:c>
      <x:c r="AK10" s="56" t="str">
        <x:f>IF(AND(AK$5&gt;='任务与甘特'!$T11,AK$5&lt;='任务与甘特'!$U11),"■","")</x:f>
      </x:c>
      <x:c r="AL10" s="56" t="str">
        <x:f>IF(AND(AL$5&gt;='任务与甘特'!$T11,AL$5&lt;='任务与甘特'!$U11),"■","")</x:f>
      </x:c>
      <x:c r="AM10" s="56" t="str">
        <x:f>IF(AND(AM$5&gt;='任务与甘特'!$T11,AM$5&lt;='任务与甘特'!$U11),"■","")</x:f>
      </x:c>
      <x:c r="AN10" s="56" t="str">
        <x:f>IF(AND(AN$5&gt;='任务与甘特'!$T11,AN$5&lt;='任务与甘特'!$U11),"■","")</x:f>
      </x:c>
      <x:c r="AO10" s="56" t="str">
        <x:f>IF(AND(AO$5&gt;='任务与甘特'!$T11,AO$5&lt;='任务与甘特'!$U11),"■","")</x:f>
      </x:c>
      <x:c r="AP10" s="56" t="str">
        <x:f>IF(AND(AP$5&gt;='任务与甘特'!$T11,AP$5&lt;='任务与甘特'!$U11),"■","")</x:f>
      </x:c>
    </x:row>
    <x:row r="11" ht="38" customHeight="1">
      <x:c r="A11" s="29" t="str">
        <x:f>'任务与甘特'!A12</x:f>
        <x:v>T2.3</x:v>
      </x:c>
      <x:c r="B11" s="29" t="str">
        <x:f>'任务与甘特'!B12</x:f>
        <x:v>内部接口与导出契约设计</x:v>
      </x:c>
      <x:c r="C11" s="56" t="str">
        <x:f>IF(AND(C$5&gt;='任务与甘特'!$T12,C$5&lt;='任务与甘特'!$U12),"■","")</x:f>
      </x:c>
      <x:c r="D11" s="56" t="str">
        <x:f>IF(AND(D$5&gt;='任务与甘特'!$T12,D$5&lt;='任务与甘特'!$U12),"■","")</x:f>
      </x:c>
      <x:c r="E11" s="56" t="str">
        <x:f>IF(AND(E$5&gt;='任务与甘特'!$T12,E$5&lt;='任务与甘特'!$U12),"■","")</x:f>
      </x:c>
      <x:c r="F11" s="56" t="str">
        <x:f>IF(AND(F$5&gt;='任务与甘特'!$T12,F$5&lt;='任务与甘特'!$U12),"■","")</x:f>
        <x:v>■</x:v>
      </x:c>
      <x:c r="G11" s="56" t="str">
        <x:f>IF(AND(G$5&gt;='任务与甘特'!$T12,G$5&lt;='任务与甘特'!$U12),"■","")</x:f>
        <x:v>■</x:v>
      </x:c>
      <x:c r="H11" s="56" t="str">
        <x:f>IF(AND(H$5&gt;='任务与甘特'!$T12,H$5&lt;='任务与甘特'!$U12),"■","")</x:f>
      </x:c>
      <x:c r="I11" s="56" t="str">
        <x:f>IF(AND(I$5&gt;='任务与甘特'!$T12,I$5&lt;='任务与甘特'!$U12),"■","")</x:f>
      </x:c>
      <x:c r="J11" s="56" t="str">
        <x:f>IF(AND(J$5&gt;='任务与甘特'!$T12,J$5&lt;='任务与甘特'!$U12),"■","")</x:f>
      </x:c>
      <x:c r="K11" s="56" t="str">
        <x:f>IF(AND(K$5&gt;='任务与甘特'!$T12,K$5&lt;='任务与甘特'!$U12),"■","")</x:f>
      </x:c>
      <x:c r="L11" s="56" t="str">
        <x:f>IF(AND(L$5&gt;='任务与甘特'!$T12,L$5&lt;='任务与甘特'!$U12),"■","")</x:f>
      </x:c>
      <x:c r="M11" s="56" t="str">
        <x:f>IF(AND(M$5&gt;='任务与甘特'!$T12,M$5&lt;='任务与甘特'!$U12),"■","")</x:f>
      </x:c>
      <x:c r="N11" s="56" t="str">
        <x:f>IF(AND(N$5&gt;='任务与甘特'!$T12,N$5&lt;='任务与甘特'!$U12),"■","")</x:f>
      </x:c>
      <x:c r="O11" s="56" t="str">
        <x:f>IF(AND(O$5&gt;='任务与甘特'!$T12,O$5&lt;='任务与甘特'!$U12),"■","")</x:f>
      </x:c>
      <x:c r="P11" s="56" t="str">
        <x:f>IF(AND(P$5&gt;='任务与甘特'!$T12,P$5&lt;='任务与甘特'!$U12),"■","")</x:f>
      </x:c>
      <x:c r="Q11" s="56" t="str">
        <x:f>IF(AND(Q$5&gt;='任务与甘特'!$T12,Q$5&lt;='任务与甘特'!$U12),"■","")</x:f>
      </x:c>
      <x:c r="R11" s="56" t="str">
        <x:f>IF(AND(R$5&gt;='任务与甘特'!$T12,R$5&lt;='任务与甘特'!$U12),"■","")</x:f>
      </x:c>
      <x:c r="S11" s="56" t="str">
        <x:f>IF(AND(S$5&gt;='任务与甘特'!$T12,S$5&lt;='任务与甘特'!$U12),"■","")</x:f>
      </x:c>
      <x:c r="T11" s="56" t="str">
        <x:f>IF(AND(T$5&gt;='任务与甘特'!$T12,T$5&lt;='任务与甘特'!$U12),"■","")</x:f>
      </x:c>
      <x:c r="U11" s="56" t="str">
        <x:f>IF(AND(U$5&gt;='任务与甘特'!$T12,U$5&lt;='任务与甘特'!$U12),"■","")</x:f>
      </x:c>
      <x:c r="V11" s="56" t="str">
        <x:f>IF(AND(V$5&gt;='任务与甘特'!$T12,V$5&lt;='任务与甘特'!$U12),"■","")</x:f>
      </x:c>
      <x:c r="W11" s="56" t="str">
        <x:f>IF(AND(W$5&gt;='任务与甘特'!$T12,W$5&lt;='任务与甘特'!$U12),"■","")</x:f>
      </x:c>
      <x:c r="X11" s="56" t="str">
        <x:f>IF(AND(X$5&gt;='任务与甘特'!$T12,X$5&lt;='任务与甘特'!$U12),"■","")</x:f>
      </x:c>
      <x:c r="Y11" s="56" t="str">
        <x:f>IF(AND(Y$5&gt;='任务与甘特'!$T12,Y$5&lt;='任务与甘特'!$U12),"■","")</x:f>
      </x:c>
      <x:c r="Z11" s="56" t="str">
        <x:f>IF(AND(Z$5&gt;='任务与甘特'!$T12,Z$5&lt;='任务与甘特'!$U12),"■","")</x:f>
      </x:c>
      <x:c r="AA11" s="56" t="str">
        <x:f>IF(AND(AA$5&gt;='任务与甘特'!$T12,AA$5&lt;='任务与甘特'!$U12),"■","")</x:f>
      </x:c>
      <x:c r="AB11" s="56" t="str">
        <x:f>IF(AND(AB$5&gt;='任务与甘特'!$T12,AB$5&lt;='任务与甘特'!$U12),"■","")</x:f>
      </x:c>
      <x:c r="AC11" s="56" t="str">
        <x:f>IF(AND(AC$5&gt;='任务与甘特'!$T12,AC$5&lt;='任务与甘特'!$U12),"■","")</x:f>
      </x:c>
      <x:c r="AD11" s="56" t="str">
        <x:f>IF(AND(AD$5&gt;='任务与甘特'!$T12,AD$5&lt;='任务与甘特'!$U12),"■","")</x:f>
      </x:c>
      <x:c r="AE11" s="56" t="str">
        <x:f>IF(AND(AE$5&gt;='任务与甘特'!$T12,AE$5&lt;='任务与甘特'!$U12),"■","")</x:f>
      </x:c>
      <x:c r="AF11" s="56" t="str">
        <x:f>IF(AND(AF$5&gt;='任务与甘特'!$T12,AF$5&lt;='任务与甘特'!$U12),"■","")</x:f>
      </x:c>
      <x:c r="AG11" s="56" t="str">
        <x:f>IF(AND(AG$5&gt;='任务与甘特'!$T12,AG$5&lt;='任务与甘特'!$U12),"■","")</x:f>
      </x:c>
      <x:c r="AH11" s="56" t="str">
        <x:f>IF(AND(AH$5&gt;='任务与甘特'!$T12,AH$5&lt;='任务与甘特'!$U12),"■","")</x:f>
      </x:c>
      <x:c r="AI11" s="56" t="str">
        <x:f>IF(AND(AI$5&gt;='任务与甘特'!$T12,AI$5&lt;='任务与甘特'!$U12),"■","")</x:f>
      </x:c>
      <x:c r="AJ11" s="56" t="str">
        <x:f>IF(AND(AJ$5&gt;='任务与甘特'!$T12,AJ$5&lt;='任务与甘特'!$U12),"■","")</x:f>
      </x:c>
      <x:c r="AK11" s="56" t="str">
        <x:f>IF(AND(AK$5&gt;='任务与甘特'!$T12,AK$5&lt;='任务与甘特'!$U12),"■","")</x:f>
      </x:c>
      <x:c r="AL11" s="56" t="str">
        <x:f>IF(AND(AL$5&gt;='任务与甘特'!$T12,AL$5&lt;='任务与甘特'!$U12),"■","")</x:f>
      </x:c>
      <x:c r="AM11" s="56" t="str">
        <x:f>IF(AND(AM$5&gt;='任务与甘特'!$T12,AM$5&lt;='任务与甘特'!$U12),"■","")</x:f>
      </x:c>
      <x:c r="AN11" s="56" t="str">
        <x:f>IF(AND(AN$5&gt;='任务与甘特'!$T12,AN$5&lt;='任务与甘特'!$U12),"■","")</x:f>
      </x:c>
      <x:c r="AO11" s="56" t="str">
        <x:f>IF(AND(AO$5&gt;='任务与甘特'!$T12,AO$5&lt;='任务与甘特'!$U12),"■","")</x:f>
      </x:c>
      <x:c r="AP11" s="56" t="str">
        <x:f>IF(AND(AP$5&gt;='任务与甘特'!$T12,AP$5&lt;='任务与甘特'!$U12),"■","")</x:f>
      </x:c>
    </x:row>
    <x:row r="12" ht="38" customHeight="1">
      <x:c r="A12" s="29" t="str">
        <x:f>'任务与甘特'!A13</x:f>
        <x:v>T2.4</x:v>
      </x:c>
      <x:c r="B12" s="29" t="str">
        <x:f>'任务与甘特'!B13</x:f>
        <x:v>确认国家真实交换输入</x:v>
      </x:c>
      <x:c r="C12" s="56" t="str">
        <x:f>IF(AND(C$5&gt;='任务与甘特'!$T13,C$5&lt;='任务与甘特'!$U13),"■","")</x:f>
      </x:c>
      <x:c r="D12" s="56" t="str">
        <x:f>IF(AND(D$5&gt;='任务与甘特'!$T13,D$5&lt;='任务与甘特'!$U13),"■","")</x:f>
      </x:c>
      <x:c r="E12" s="56" t="str">
        <x:f>IF(AND(E$5&gt;='任务与甘特'!$T13,E$5&lt;='任务与甘特'!$U13),"■","")</x:f>
      </x:c>
      <x:c r="F12" s="56" t="str">
        <x:f>IF(AND(F$5&gt;='任务与甘特'!$T13,F$5&lt;='任务与甘特'!$U13),"■","")</x:f>
      </x:c>
      <x:c r="G12" s="56" t="str">
        <x:f>IF(AND(G$5&gt;='任务与甘特'!$T13,G$5&lt;='任务与甘特'!$U13),"■","")</x:f>
      </x:c>
      <x:c r="H12" s="56" t="str">
        <x:f>IF(AND(H$5&gt;='任务与甘特'!$T13,H$5&lt;='任务与甘特'!$U13),"■","")</x:f>
        <x:v>■</x:v>
      </x:c>
      <x:c r="I12" s="56" t="str">
        <x:f>IF(AND(I$5&gt;='任务与甘特'!$T13,I$5&lt;='任务与甘特'!$U13),"■","")</x:f>
        <x:v>■</x:v>
      </x:c>
      <x:c r="J12" s="56" t="str">
        <x:f>IF(AND(J$5&gt;='任务与甘特'!$T13,J$5&lt;='任务与甘特'!$U13),"■","")</x:f>
        <x:v>■</x:v>
      </x:c>
      <x:c r="K12" s="56" t="str">
        <x:f>IF(AND(K$5&gt;='任务与甘特'!$T13,K$5&lt;='任务与甘特'!$U13),"■","")</x:f>
      </x:c>
      <x:c r="L12" s="56" t="str">
        <x:f>IF(AND(L$5&gt;='任务与甘特'!$T13,L$5&lt;='任务与甘特'!$U13),"■","")</x:f>
      </x:c>
      <x:c r="M12" s="56" t="str">
        <x:f>IF(AND(M$5&gt;='任务与甘特'!$T13,M$5&lt;='任务与甘特'!$U13),"■","")</x:f>
      </x:c>
      <x:c r="N12" s="56" t="str">
        <x:f>IF(AND(N$5&gt;='任务与甘特'!$T13,N$5&lt;='任务与甘特'!$U13),"■","")</x:f>
      </x:c>
      <x:c r="O12" s="56" t="str">
        <x:f>IF(AND(O$5&gt;='任务与甘特'!$T13,O$5&lt;='任务与甘特'!$U13),"■","")</x:f>
      </x:c>
      <x:c r="P12" s="56" t="str">
        <x:f>IF(AND(P$5&gt;='任务与甘特'!$T13,P$5&lt;='任务与甘特'!$U13),"■","")</x:f>
      </x:c>
      <x:c r="Q12" s="56" t="str">
        <x:f>IF(AND(Q$5&gt;='任务与甘特'!$T13,Q$5&lt;='任务与甘特'!$U13),"■","")</x:f>
      </x:c>
      <x:c r="R12" s="56" t="str">
        <x:f>IF(AND(R$5&gt;='任务与甘特'!$T13,R$5&lt;='任务与甘特'!$U13),"■","")</x:f>
      </x:c>
      <x:c r="S12" s="56" t="str">
        <x:f>IF(AND(S$5&gt;='任务与甘特'!$T13,S$5&lt;='任务与甘特'!$U13),"■","")</x:f>
      </x:c>
      <x:c r="T12" s="56" t="str">
        <x:f>IF(AND(T$5&gt;='任务与甘特'!$T13,T$5&lt;='任务与甘特'!$U13),"■","")</x:f>
      </x:c>
      <x:c r="U12" s="56" t="str">
        <x:f>IF(AND(U$5&gt;='任务与甘特'!$T13,U$5&lt;='任务与甘特'!$U13),"■","")</x:f>
      </x:c>
      <x:c r="V12" s="56" t="str">
        <x:f>IF(AND(V$5&gt;='任务与甘特'!$T13,V$5&lt;='任务与甘特'!$U13),"■","")</x:f>
      </x:c>
      <x:c r="W12" s="56" t="str">
        <x:f>IF(AND(W$5&gt;='任务与甘特'!$T13,W$5&lt;='任务与甘特'!$U13),"■","")</x:f>
      </x:c>
      <x:c r="X12" s="56" t="str">
        <x:f>IF(AND(X$5&gt;='任务与甘特'!$T13,X$5&lt;='任务与甘特'!$U13),"■","")</x:f>
      </x:c>
      <x:c r="Y12" s="56" t="str">
        <x:f>IF(AND(Y$5&gt;='任务与甘特'!$T13,Y$5&lt;='任务与甘特'!$U13),"■","")</x:f>
      </x:c>
      <x:c r="Z12" s="56" t="str">
        <x:f>IF(AND(Z$5&gt;='任务与甘特'!$T13,Z$5&lt;='任务与甘特'!$U13),"■","")</x:f>
      </x:c>
      <x:c r="AA12" s="56" t="str">
        <x:f>IF(AND(AA$5&gt;='任务与甘特'!$T13,AA$5&lt;='任务与甘特'!$U13),"■","")</x:f>
      </x:c>
      <x:c r="AB12" s="56" t="str">
        <x:f>IF(AND(AB$5&gt;='任务与甘特'!$T13,AB$5&lt;='任务与甘特'!$U13),"■","")</x:f>
      </x:c>
      <x:c r="AC12" s="56" t="str">
        <x:f>IF(AND(AC$5&gt;='任务与甘特'!$T13,AC$5&lt;='任务与甘特'!$U13),"■","")</x:f>
      </x:c>
      <x:c r="AD12" s="56" t="str">
        <x:f>IF(AND(AD$5&gt;='任务与甘特'!$T13,AD$5&lt;='任务与甘特'!$U13),"■","")</x:f>
      </x:c>
      <x:c r="AE12" s="56" t="str">
        <x:f>IF(AND(AE$5&gt;='任务与甘特'!$T13,AE$5&lt;='任务与甘特'!$U13),"■","")</x:f>
      </x:c>
      <x:c r="AF12" s="56" t="str">
        <x:f>IF(AND(AF$5&gt;='任务与甘特'!$T13,AF$5&lt;='任务与甘特'!$U13),"■","")</x:f>
      </x:c>
      <x:c r="AG12" s="56" t="str">
        <x:f>IF(AND(AG$5&gt;='任务与甘特'!$T13,AG$5&lt;='任务与甘特'!$U13),"■","")</x:f>
      </x:c>
      <x:c r="AH12" s="56" t="str">
        <x:f>IF(AND(AH$5&gt;='任务与甘特'!$T13,AH$5&lt;='任务与甘特'!$U13),"■","")</x:f>
      </x:c>
      <x:c r="AI12" s="56" t="str">
        <x:f>IF(AND(AI$5&gt;='任务与甘特'!$T13,AI$5&lt;='任务与甘特'!$U13),"■","")</x:f>
      </x:c>
      <x:c r="AJ12" s="56" t="str">
        <x:f>IF(AND(AJ$5&gt;='任务与甘特'!$T13,AJ$5&lt;='任务与甘特'!$U13),"■","")</x:f>
      </x:c>
      <x:c r="AK12" s="56" t="str">
        <x:f>IF(AND(AK$5&gt;='任务与甘特'!$T13,AK$5&lt;='任务与甘特'!$U13),"■","")</x:f>
      </x:c>
      <x:c r="AL12" s="56" t="str">
        <x:f>IF(AND(AL$5&gt;='任务与甘特'!$T13,AL$5&lt;='任务与甘特'!$U13),"■","")</x:f>
      </x:c>
      <x:c r="AM12" s="56" t="str">
        <x:f>IF(AND(AM$5&gt;='任务与甘特'!$T13,AM$5&lt;='任务与甘特'!$U13),"■","")</x:f>
      </x:c>
      <x:c r="AN12" s="56" t="str">
        <x:f>IF(AND(AN$5&gt;='任务与甘特'!$T13,AN$5&lt;='任务与甘特'!$U13),"■","")</x:f>
      </x:c>
      <x:c r="AO12" s="56" t="str">
        <x:f>IF(AND(AO$5&gt;='任务与甘特'!$T13,AO$5&lt;='任务与甘特'!$U13),"■","")</x:f>
      </x:c>
      <x:c r="AP12" s="56" t="str">
        <x:f>IF(AND(AP$5&gt;='任务与甘特'!$T13,AP$5&lt;='任务与甘特'!$U13),"■","")</x:f>
      </x:c>
    </x:row>
    <x:row r="13" ht="38" customHeight="1">
      <x:c r="A13" s="29" t="str">
        <x:f>'任务与甘特'!A14</x:f>
        <x:v>T2.5</x:v>
      </x:c>
      <x:c r="B13" s="29" t="str">
        <x:f>'任务与甘特'!B14</x:f>
        <x:v>维护计划与配置版本</x:v>
      </x:c>
      <x:c r="C13" s="56" t="str">
        <x:f>IF(AND(C$5&gt;='任务与甘特'!$T14,C$5&lt;='任务与甘特'!$U14),"■","")</x:f>
      </x:c>
      <x:c r="D13" s="56" t="str">
        <x:f>IF(AND(D$5&gt;='任务与甘特'!$T14,D$5&lt;='任务与甘特'!$U14),"■","")</x:f>
      </x:c>
      <x:c r="E13" s="56" t="str">
        <x:f>IF(AND(E$5&gt;='任务与甘特'!$T14,E$5&lt;='任务与甘特'!$U14),"■","")</x:f>
      </x:c>
      <x:c r="F13" s="56" t="str">
        <x:f>IF(AND(F$5&gt;='任务与甘特'!$T14,F$5&lt;='任务与甘特'!$U14),"■","")</x:f>
        <x:v>■</x:v>
      </x:c>
      <x:c r="G13" s="56" t="str">
        <x:f>IF(AND(G$5&gt;='任务与甘特'!$T14,G$5&lt;='任务与甘特'!$U14),"■","")</x:f>
        <x:v>■</x:v>
      </x:c>
      <x:c r="H13" s="56" t="str">
        <x:f>IF(AND(H$5&gt;='任务与甘特'!$T14,H$5&lt;='任务与甘特'!$U14),"■","")</x:f>
        <x:v>■</x:v>
      </x:c>
      <x:c r="I13" s="56" t="str">
        <x:f>IF(AND(I$5&gt;='任务与甘特'!$T14,I$5&lt;='任务与甘特'!$U14),"■","")</x:f>
        <x:v>■</x:v>
      </x:c>
      <x:c r="J13" s="56" t="str">
        <x:f>IF(AND(J$5&gt;='任务与甘特'!$T14,J$5&lt;='任务与甘特'!$U14),"■","")</x:f>
        <x:v>■</x:v>
      </x:c>
      <x:c r="K13" s="56" t="str">
        <x:f>IF(AND(K$5&gt;='任务与甘特'!$T14,K$5&lt;='任务与甘特'!$U14),"■","")</x:f>
        <x:v>■</x:v>
      </x:c>
      <x:c r="L13" s="56" t="str">
        <x:f>IF(AND(L$5&gt;='任务与甘特'!$T14,L$5&lt;='任务与甘特'!$U14),"■","")</x:f>
        <x:v>■</x:v>
      </x:c>
      <x:c r="M13" s="56" t="str">
        <x:f>IF(AND(M$5&gt;='任务与甘特'!$T14,M$5&lt;='任务与甘特'!$U14),"■","")</x:f>
        <x:v>■</x:v>
      </x:c>
      <x:c r="N13" s="56" t="str">
        <x:f>IF(AND(N$5&gt;='任务与甘特'!$T14,N$5&lt;='任务与甘特'!$U14),"■","")</x:f>
        <x:v>■</x:v>
      </x:c>
      <x:c r="O13" s="56" t="str">
        <x:f>IF(AND(O$5&gt;='任务与甘特'!$T14,O$5&lt;='任务与甘特'!$U14),"■","")</x:f>
        <x:v>■</x:v>
      </x:c>
      <x:c r="P13" s="56" t="str">
        <x:f>IF(AND(P$5&gt;='任务与甘特'!$T14,P$5&lt;='任务与甘特'!$U14),"■","")</x:f>
        <x:v>■</x:v>
      </x:c>
      <x:c r="Q13" s="56" t="str">
        <x:f>IF(AND(Q$5&gt;='任务与甘特'!$T14,Q$5&lt;='任务与甘特'!$U14),"■","")</x:f>
        <x:v>■</x:v>
      </x:c>
      <x:c r="R13" s="56" t="str">
        <x:f>IF(AND(R$5&gt;='任务与甘特'!$T14,R$5&lt;='任务与甘特'!$U14),"■","")</x:f>
        <x:v>■</x:v>
      </x:c>
      <x:c r="S13" s="56" t="str">
        <x:f>IF(AND(S$5&gt;='任务与甘特'!$T14,S$5&lt;='任务与甘特'!$U14),"■","")</x:f>
        <x:v>■</x:v>
      </x:c>
      <x:c r="T13" s="56" t="str">
        <x:f>IF(AND(T$5&gt;='任务与甘特'!$T14,T$5&lt;='任务与甘特'!$U14),"■","")</x:f>
        <x:v>■</x:v>
      </x:c>
      <x:c r="U13" s="56" t="str">
        <x:f>IF(AND(U$5&gt;='任务与甘特'!$T14,U$5&lt;='任务与甘特'!$U14),"■","")</x:f>
        <x:v>■</x:v>
      </x:c>
      <x:c r="V13" s="56" t="str">
        <x:f>IF(AND(V$5&gt;='任务与甘特'!$T14,V$5&lt;='任务与甘特'!$U14),"■","")</x:f>
        <x:v>■</x:v>
      </x:c>
      <x:c r="W13" s="56" t="str">
        <x:f>IF(AND(W$5&gt;='任务与甘特'!$T14,W$5&lt;='任务与甘特'!$U14),"■","")</x:f>
        <x:v>■</x:v>
      </x:c>
      <x:c r="X13" s="56" t="str">
        <x:f>IF(AND(X$5&gt;='任务与甘特'!$T14,X$5&lt;='任务与甘特'!$U14),"■","")</x:f>
        <x:v>■</x:v>
      </x:c>
      <x:c r="Y13" s="56" t="str">
        <x:f>IF(AND(Y$5&gt;='任务与甘特'!$T14,Y$5&lt;='任务与甘特'!$U14),"■","")</x:f>
        <x:v>■</x:v>
      </x:c>
      <x:c r="Z13" s="56" t="str">
        <x:f>IF(AND(Z$5&gt;='任务与甘特'!$T14,Z$5&lt;='任务与甘特'!$U14),"■","")</x:f>
        <x:v>■</x:v>
      </x:c>
      <x:c r="AA13" s="56" t="str">
        <x:f>IF(AND(AA$5&gt;='任务与甘特'!$T14,AA$5&lt;='任务与甘特'!$U14),"■","")</x:f>
        <x:v>■</x:v>
      </x:c>
      <x:c r="AB13" s="56" t="str">
        <x:f>IF(AND(AB$5&gt;='任务与甘特'!$T14,AB$5&lt;='任务与甘特'!$U14),"■","")</x:f>
        <x:v>■</x:v>
      </x:c>
      <x:c r="AC13" s="56" t="str">
        <x:f>IF(AND(AC$5&gt;='任务与甘特'!$T14,AC$5&lt;='任务与甘特'!$U14),"■","")</x:f>
        <x:v>■</x:v>
      </x:c>
      <x:c r="AD13" s="56" t="str">
        <x:f>IF(AND(AD$5&gt;='任务与甘特'!$T14,AD$5&lt;='任务与甘特'!$U14),"■","")</x:f>
        <x:v>■</x:v>
      </x:c>
      <x:c r="AE13" s="56" t="str">
        <x:f>IF(AND(AE$5&gt;='任务与甘特'!$T14,AE$5&lt;='任务与甘特'!$U14),"■","")</x:f>
        <x:v>■</x:v>
      </x:c>
      <x:c r="AF13" s="56" t="str">
        <x:f>IF(AND(AF$5&gt;='任务与甘特'!$T14,AF$5&lt;='任务与甘特'!$U14),"■","")</x:f>
        <x:v>■</x:v>
      </x:c>
      <x:c r="AG13" s="56" t="str">
        <x:f>IF(AND(AG$5&gt;='任务与甘特'!$T14,AG$5&lt;='任务与甘特'!$U14),"■","")</x:f>
        <x:v>■</x:v>
      </x:c>
      <x:c r="AH13" s="56" t="str">
        <x:f>IF(AND(AH$5&gt;='任务与甘特'!$T14,AH$5&lt;='任务与甘特'!$U14),"■","")</x:f>
        <x:v>■</x:v>
      </x:c>
      <x:c r="AI13" s="56" t="str">
        <x:f>IF(AND(AI$5&gt;='任务与甘特'!$T14,AI$5&lt;='任务与甘特'!$U14),"■","")</x:f>
        <x:v>■</x:v>
      </x:c>
      <x:c r="AJ13" s="56" t="str">
        <x:f>IF(AND(AJ$5&gt;='任务与甘特'!$T14,AJ$5&lt;='任务与甘特'!$U14),"■","")</x:f>
        <x:v>■</x:v>
      </x:c>
      <x:c r="AK13" s="56" t="str">
        <x:f>IF(AND(AK$5&gt;='任务与甘特'!$T14,AK$5&lt;='任务与甘特'!$U14),"■","")</x:f>
        <x:v>■</x:v>
      </x:c>
      <x:c r="AL13" s="56" t="str">
        <x:f>IF(AND(AL$5&gt;='任务与甘特'!$T14,AL$5&lt;='任务与甘特'!$U14),"■","")</x:f>
        <x:v>■</x:v>
      </x:c>
      <x:c r="AM13" s="56" t="str">
        <x:f>IF(AND(AM$5&gt;='任务与甘特'!$T14,AM$5&lt;='任务与甘特'!$U14),"■","")</x:f>
        <x:v>■</x:v>
      </x:c>
      <x:c r="AN13" s="56" t="str">
        <x:f>IF(AND(AN$5&gt;='任务与甘特'!$T14,AN$5&lt;='任务与甘特'!$U14),"■","")</x:f>
        <x:v>■</x:v>
      </x:c>
      <x:c r="AO13" s="56" t="str">
        <x:f>IF(AND(AO$5&gt;='任务与甘特'!$T14,AO$5&lt;='任务与甘特'!$U14),"■","")</x:f>
        <x:v>■</x:v>
      </x:c>
      <x:c r="AP13" s="56" t="str">
        <x:f>IF(AND(AP$5&gt;='任务与甘特'!$T14,AP$5&lt;='任务与甘特'!$U14),"■","")</x:f>
      </x:c>
    </x:row>
    <x:row r="14" ht="38" customHeight="1">
      <x:c r="A14" s="29" t="str">
        <x:f>'任务与甘特'!A15</x:f>
        <x:v>T3.1</x:v>
      </x:c>
      <x:c r="B14" s="29" t="str">
        <x:f>'任务与甘特'!B15</x:f>
        <x:v>建立开发与本地集成环境</x:v>
      </x:c>
      <x:c r="C14" s="56" t="str">
        <x:f>IF(AND(C$5&gt;='任务与甘特'!$T15,C$5&lt;='任务与甘特'!$U15),"■","")</x:f>
      </x:c>
      <x:c r="D14" s="56" t="str">
        <x:f>IF(AND(D$5&gt;='任务与甘特'!$T15,D$5&lt;='任务与甘特'!$U15),"■","")</x:f>
      </x:c>
      <x:c r="E14" s="56" t="str">
        <x:f>IF(AND(E$5&gt;='任务与甘特'!$T15,E$5&lt;='任务与甘特'!$U15),"■","")</x:f>
      </x:c>
      <x:c r="F14" s="56" t="str">
        <x:f>IF(AND(F$5&gt;='任务与甘特'!$T15,F$5&lt;='任务与甘特'!$U15),"■","")</x:f>
      </x:c>
      <x:c r="G14" s="56" t="str">
        <x:f>IF(AND(G$5&gt;='任务与甘特'!$T15,G$5&lt;='任务与甘特'!$U15),"■","")</x:f>
        <x:v>■</x:v>
      </x:c>
      <x:c r="H14" s="56" t="str">
        <x:f>IF(AND(H$5&gt;='任务与甘特'!$T15,H$5&lt;='任务与甘特'!$U15),"■","")</x:f>
        <x:v>■</x:v>
      </x:c>
      <x:c r="I14" s="56" t="str">
        <x:f>IF(AND(I$5&gt;='任务与甘特'!$T15,I$5&lt;='任务与甘特'!$U15),"■","")</x:f>
      </x:c>
      <x:c r="J14" s="56" t="str">
        <x:f>IF(AND(J$5&gt;='任务与甘特'!$T15,J$5&lt;='任务与甘特'!$U15),"■","")</x:f>
      </x:c>
      <x:c r="K14" s="56" t="str">
        <x:f>IF(AND(K$5&gt;='任务与甘特'!$T15,K$5&lt;='任务与甘特'!$U15),"■","")</x:f>
      </x:c>
      <x:c r="L14" s="56" t="str">
        <x:f>IF(AND(L$5&gt;='任务与甘特'!$T15,L$5&lt;='任务与甘特'!$U15),"■","")</x:f>
      </x:c>
      <x:c r="M14" s="56" t="str">
        <x:f>IF(AND(M$5&gt;='任务与甘特'!$T15,M$5&lt;='任务与甘特'!$U15),"■","")</x:f>
      </x:c>
      <x:c r="N14" s="56" t="str">
        <x:f>IF(AND(N$5&gt;='任务与甘特'!$T15,N$5&lt;='任务与甘特'!$U15),"■","")</x:f>
      </x:c>
      <x:c r="O14" s="56" t="str">
        <x:f>IF(AND(O$5&gt;='任务与甘特'!$T15,O$5&lt;='任务与甘特'!$U15),"■","")</x:f>
      </x:c>
      <x:c r="P14" s="56" t="str">
        <x:f>IF(AND(P$5&gt;='任务与甘特'!$T15,P$5&lt;='任务与甘特'!$U15),"■","")</x:f>
      </x:c>
      <x:c r="Q14" s="56" t="str">
        <x:f>IF(AND(Q$5&gt;='任务与甘特'!$T15,Q$5&lt;='任务与甘特'!$U15),"■","")</x:f>
      </x:c>
      <x:c r="R14" s="56" t="str">
        <x:f>IF(AND(R$5&gt;='任务与甘特'!$T15,R$5&lt;='任务与甘特'!$U15),"■","")</x:f>
      </x:c>
      <x:c r="S14" s="56" t="str">
        <x:f>IF(AND(S$5&gt;='任务与甘特'!$T15,S$5&lt;='任务与甘特'!$U15),"■","")</x:f>
      </x:c>
      <x:c r="T14" s="56" t="str">
        <x:f>IF(AND(T$5&gt;='任务与甘特'!$T15,T$5&lt;='任务与甘特'!$U15),"■","")</x:f>
      </x:c>
      <x:c r="U14" s="56" t="str">
        <x:f>IF(AND(U$5&gt;='任务与甘特'!$T15,U$5&lt;='任务与甘特'!$U15),"■","")</x:f>
      </x:c>
      <x:c r="V14" s="56" t="str">
        <x:f>IF(AND(V$5&gt;='任务与甘特'!$T15,V$5&lt;='任务与甘特'!$U15),"■","")</x:f>
      </x:c>
      <x:c r="W14" s="56" t="str">
        <x:f>IF(AND(W$5&gt;='任务与甘特'!$T15,W$5&lt;='任务与甘特'!$U15),"■","")</x:f>
      </x:c>
      <x:c r="X14" s="56" t="str">
        <x:f>IF(AND(X$5&gt;='任务与甘特'!$T15,X$5&lt;='任务与甘特'!$U15),"■","")</x:f>
      </x:c>
      <x:c r="Y14" s="56" t="str">
        <x:f>IF(AND(Y$5&gt;='任务与甘特'!$T15,Y$5&lt;='任务与甘特'!$U15),"■","")</x:f>
      </x:c>
      <x:c r="Z14" s="56" t="str">
        <x:f>IF(AND(Z$5&gt;='任务与甘特'!$T15,Z$5&lt;='任务与甘特'!$U15),"■","")</x:f>
      </x:c>
      <x:c r="AA14" s="56" t="str">
        <x:f>IF(AND(AA$5&gt;='任务与甘特'!$T15,AA$5&lt;='任务与甘特'!$U15),"■","")</x:f>
      </x:c>
      <x:c r="AB14" s="56" t="str">
        <x:f>IF(AND(AB$5&gt;='任务与甘特'!$T15,AB$5&lt;='任务与甘特'!$U15),"■","")</x:f>
      </x:c>
      <x:c r="AC14" s="56" t="str">
        <x:f>IF(AND(AC$5&gt;='任务与甘特'!$T15,AC$5&lt;='任务与甘特'!$U15),"■","")</x:f>
      </x:c>
      <x:c r="AD14" s="56" t="str">
        <x:f>IF(AND(AD$5&gt;='任务与甘特'!$T15,AD$5&lt;='任务与甘特'!$U15),"■","")</x:f>
      </x:c>
      <x:c r="AE14" s="56" t="str">
        <x:f>IF(AND(AE$5&gt;='任务与甘特'!$T15,AE$5&lt;='任务与甘特'!$U15),"■","")</x:f>
      </x:c>
      <x:c r="AF14" s="56" t="str">
        <x:f>IF(AND(AF$5&gt;='任务与甘特'!$T15,AF$5&lt;='任务与甘特'!$U15),"■","")</x:f>
      </x:c>
      <x:c r="AG14" s="56" t="str">
        <x:f>IF(AND(AG$5&gt;='任务与甘特'!$T15,AG$5&lt;='任务与甘特'!$U15),"■","")</x:f>
      </x:c>
      <x:c r="AH14" s="56" t="str">
        <x:f>IF(AND(AH$5&gt;='任务与甘特'!$T15,AH$5&lt;='任务与甘特'!$U15),"■","")</x:f>
      </x:c>
      <x:c r="AI14" s="56" t="str">
        <x:f>IF(AND(AI$5&gt;='任务与甘特'!$T15,AI$5&lt;='任务与甘特'!$U15),"■","")</x:f>
      </x:c>
      <x:c r="AJ14" s="56" t="str">
        <x:f>IF(AND(AJ$5&gt;='任务与甘特'!$T15,AJ$5&lt;='任务与甘特'!$U15),"■","")</x:f>
      </x:c>
      <x:c r="AK14" s="56" t="str">
        <x:f>IF(AND(AK$5&gt;='任务与甘特'!$T15,AK$5&lt;='任务与甘特'!$U15),"■","")</x:f>
      </x:c>
      <x:c r="AL14" s="56" t="str">
        <x:f>IF(AND(AL$5&gt;='任务与甘特'!$T15,AL$5&lt;='任务与甘特'!$U15),"■","")</x:f>
      </x:c>
      <x:c r="AM14" s="56" t="str">
        <x:f>IF(AND(AM$5&gt;='任务与甘特'!$T15,AM$5&lt;='任务与甘特'!$U15),"■","")</x:f>
      </x:c>
      <x:c r="AN14" s="56" t="str">
        <x:f>IF(AND(AN$5&gt;='任务与甘特'!$T15,AN$5&lt;='任务与甘特'!$U15),"■","")</x:f>
      </x:c>
      <x:c r="AO14" s="56" t="str">
        <x:f>IF(AND(AO$5&gt;='任务与甘特'!$T15,AO$5&lt;='任务与甘特'!$U15),"■","")</x:f>
      </x:c>
      <x:c r="AP14" s="56" t="str">
        <x:f>IF(AND(AP$5&gt;='任务与甘特'!$T15,AP$5&lt;='任务与甘特'!$U15),"■","")</x:f>
      </x:c>
    </x:row>
    <x:row r="15" ht="38" customHeight="1">
      <x:c r="A15" s="29" t="str">
        <x:f>'任务与甘特'!A16</x:f>
        <x:v>T3.2</x:v>
      </x:c>
      <x:c r="B15" s="29" t="str">
        <x:f>'任务与甘特'!B16</x:f>
        <x:v>实现认证、权限和角色基础</x:v>
      </x:c>
      <x:c r="C15" s="56" t="str">
        <x:f>IF(AND(C$5&gt;='任务与甘特'!$T16,C$5&lt;='任务与甘特'!$U16),"■","")</x:f>
      </x:c>
      <x:c r="D15" s="56" t="str">
        <x:f>IF(AND(D$5&gt;='任务与甘特'!$T16,D$5&lt;='任务与甘特'!$U16),"■","")</x:f>
      </x:c>
      <x:c r="E15" s="56" t="str">
        <x:f>IF(AND(E$5&gt;='任务与甘特'!$T16,E$5&lt;='任务与甘特'!$U16),"■","")</x:f>
      </x:c>
      <x:c r="F15" s="56" t="str">
        <x:f>IF(AND(F$5&gt;='任务与甘特'!$T16,F$5&lt;='任务与甘特'!$U16),"■","")</x:f>
      </x:c>
      <x:c r="G15" s="56" t="str">
        <x:f>IF(AND(G$5&gt;='任务与甘特'!$T16,G$5&lt;='任务与甘特'!$U16),"■","")</x:f>
      </x:c>
      <x:c r="H15" s="56" t="str">
        <x:f>IF(AND(H$5&gt;='任务与甘特'!$T16,H$5&lt;='任务与甘特'!$U16),"■","")</x:f>
      </x:c>
      <x:c r="I15" s="56" t="str">
        <x:f>IF(AND(I$5&gt;='任务与甘特'!$T16,I$5&lt;='任务与甘特'!$U16),"■","")</x:f>
        <x:v>■</x:v>
      </x:c>
      <x:c r="J15" s="56" t="str">
        <x:f>IF(AND(J$5&gt;='任务与甘特'!$T16,J$5&lt;='任务与甘特'!$U16),"■","")</x:f>
        <x:v>■</x:v>
      </x:c>
      <x:c r="K15" s="56" t="str">
        <x:f>IF(AND(K$5&gt;='任务与甘特'!$T16,K$5&lt;='任务与甘特'!$U16),"■","")</x:f>
        <x:v>■</x:v>
      </x:c>
      <x:c r="L15" s="56" t="str">
        <x:f>IF(AND(L$5&gt;='任务与甘特'!$T16,L$5&lt;='任务与甘特'!$U16),"■","")</x:f>
      </x:c>
      <x:c r="M15" s="56" t="str">
        <x:f>IF(AND(M$5&gt;='任务与甘特'!$T16,M$5&lt;='任务与甘特'!$U16),"■","")</x:f>
      </x:c>
      <x:c r="N15" s="56" t="str">
        <x:f>IF(AND(N$5&gt;='任务与甘特'!$T16,N$5&lt;='任务与甘特'!$U16),"■","")</x:f>
      </x:c>
      <x:c r="O15" s="56" t="str">
        <x:f>IF(AND(O$5&gt;='任务与甘特'!$T16,O$5&lt;='任务与甘特'!$U16),"■","")</x:f>
      </x:c>
      <x:c r="P15" s="56" t="str">
        <x:f>IF(AND(P$5&gt;='任务与甘特'!$T16,P$5&lt;='任务与甘特'!$U16),"■","")</x:f>
      </x:c>
      <x:c r="Q15" s="56" t="str">
        <x:f>IF(AND(Q$5&gt;='任务与甘特'!$T16,Q$5&lt;='任务与甘特'!$U16),"■","")</x:f>
      </x:c>
      <x:c r="R15" s="56" t="str">
        <x:f>IF(AND(R$5&gt;='任务与甘特'!$T16,R$5&lt;='任务与甘特'!$U16),"■","")</x:f>
      </x:c>
      <x:c r="S15" s="56" t="str">
        <x:f>IF(AND(S$5&gt;='任务与甘特'!$T16,S$5&lt;='任务与甘特'!$U16),"■","")</x:f>
      </x:c>
      <x:c r="T15" s="56" t="str">
        <x:f>IF(AND(T$5&gt;='任务与甘特'!$T16,T$5&lt;='任务与甘特'!$U16),"■","")</x:f>
      </x:c>
      <x:c r="U15" s="56" t="str">
        <x:f>IF(AND(U$5&gt;='任务与甘特'!$T16,U$5&lt;='任务与甘特'!$U16),"■","")</x:f>
      </x:c>
      <x:c r="V15" s="56" t="str">
        <x:f>IF(AND(V$5&gt;='任务与甘特'!$T16,V$5&lt;='任务与甘特'!$U16),"■","")</x:f>
      </x:c>
      <x:c r="W15" s="56" t="str">
        <x:f>IF(AND(W$5&gt;='任务与甘特'!$T16,W$5&lt;='任务与甘特'!$U16),"■","")</x:f>
      </x:c>
      <x:c r="X15" s="56" t="str">
        <x:f>IF(AND(X$5&gt;='任务与甘特'!$T16,X$5&lt;='任务与甘特'!$U16),"■","")</x:f>
      </x:c>
      <x:c r="Y15" s="56" t="str">
        <x:f>IF(AND(Y$5&gt;='任务与甘特'!$T16,Y$5&lt;='任务与甘特'!$U16),"■","")</x:f>
      </x:c>
      <x:c r="Z15" s="56" t="str">
        <x:f>IF(AND(Z$5&gt;='任务与甘特'!$T16,Z$5&lt;='任务与甘特'!$U16),"■","")</x:f>
      </x:c>
      <x:c r="AA15" s="56" t="str">
        <x:f>IF(AND(AA$5&gt;='任务与甘特'!$T16,AA$5&lt;='任务与甘特'!$U16),"■","")</x:f>
      </x:c>
      <x:c r="AB15" s="56" t="str">
        <x:f>IF(AND(AB$5&gt;='任务与甘特'!$T16,AB$5&lt;='任务与甘特'!$U16),"■","")</x:f>
      </x:c>
      <x:c r="AC15" s="56" t="str">
        <x:f>IF(AND(AC$5&gt;='任务与甘特'!$T16,AC$5&lt;='任务与甘特'!$U16),"■","")</x:f>
      </x:c>
      <x:c r="AD15" s="56" t="str">
        <x:f>IF(AND(AD$5&gt;='任务与甘特'!$T16,AD$5&lt;='任务与甘特'!$U16),"■","")</x:f>
      </x:c>
      <x:c r="AE15" s="56" t="str">
        <x:f>IF(AND(AE$5&gt;='任务与甘特'!$T16,AE$5&lt;='任务与甘特'!$U16),"■","")</x:f>
      </x:c>
      <x:c r="AF15" s="56" t="str">
        <x:f>IF(AND(AF$5&gt;='任务与甘特'!$T16,AF$5&lt;='任务与甘特'!$U16),"■","")</x:f>
      </x:c>
      <x:c r="AG15" s="56" t="str">
        <x:f>IF(AND(AG$5&gt;='任务与甘特'!$T16,AG$5&lt;='任务与甘特'!$U16),"■","")</x:f>
      </x:c>
      <x:c r="AH15" s="56" t="str">
        <x:f>IF(AND(AH$5&gt;='任务与甘特'!$T16,AH$5&lt;='任务与甘特'!$U16),"■","")</x:f>
      </x:c>
      <x:c r="AI15" s="56" t="str">
        <x:f>IF(AND(AI$5&gt;='任务与甘特'!$T16,AI$5&lt;='任务与甘特'!$U16),"■","")</x:f>
      </x:c>
      <x:c r="AJ15" s="56" t="str">
        <x:f>IF(AND(AJ$5&gt;='任务与甘特'!$T16,AJ$5&lt;='任务与甘特'!$U16),"■","")</x:f>
      </x:c>
      <x:c r="AK15" s="56" t="str">
        <x:f>IF(AND(AK$5&gt;='任务与甘特'!$T16,AK$5&lt;='任务与甘特'!$U16),"■","")</x:f>
      </x:c>
      <x:c r="AL15" s="56" t="str">
        <x:f>IF(AND(AL$5&gt;='任务与甘特'!$T16,AL$5&lt;='任务与甘特'!$U16),"■","")</x:f>
      </x:c>
      <x:c r="AM15" s="56" t="str">
        <x:f>IF(AND(AM$5&gt;='任务与甘特'!$T16,AM$5&lt;='任务与甘特'!$U16),"■","")</x:f>
      </x:c>
      <x:c r="AN15" s="56" t="str">
        <x:f>IF(AND(AN$5&gt;='任务与甘特'!$T16,AN$5&lt;='任务与甘特'!$U16),"■","")</x:f>
      </x:c>
      <x:c r="AO15" s="56" t="str">
        <x:f>IF(AND(AO$5&gt;='任务与甘特'!$T16,AO$5&lt;='任务与甘特'!$U16),"■","")</x:f>
      </x:c>
      <x:c r="AP15" s="56" t="str">
        <x:f>IF(AND(AP$5&gt;='任务与甘特'!$T16,AP$5&lt;='任务与甘特'!$U16),"■","")</x:f>
      </x:c>
    </x:row>
    <x:row r="16" ht="38" customHeight="1">
      <x:c r="A16" s="29" t="str">
        <x:f>'任务与甘特'!A17</x:f>
        <x:v>T3.3</x:v>
      </x:c>
      <x:c r="B16" s="29" t="str">
        <x:f>'任务与甘特'!B17</x:f>
        <x:v>实现字典、地区和基准管理</x:v>
      </x:c>
      <x:c r="C16" s="56" t="str">
        <x:f>IF(AND(C$5&gt;='任务与甘特'!$T17,C$5&lt;='任务与甘特'!$U17),"■","")</x:f>
      </x:c>
      <x:c r="D16" s="56" t="str">
        <x:f>IF(AND(D$5&gt;='任务与甘特'!$T17,D$5&lt;='任务与甘特'!$U17),"■","")</x:f>
      </x:c>
      <x:c r="E16" s="56" t="str">
        <x:f>IF(AND(E$5&gt;='任务与甘特'!$T17,E$5&lt;='任务与甘特'!$U17),"■","")</x:f>
      </x:c>
      <x:c r="F16" s="56" t="str">
        <x:f>IF(AND(F$5&gt;='任务与甘特'!$T17,F$5&lt;='任务与甘特'!$U17),"■","")</x:f>
      </x:c>
      <x:c r="G16" s="56" t="str">
        <x:f>IF(AND(G$5&gt;='任务与甘特'!$T17,G$5&lt;='任务与甘特'!$U17),"■","")</x:f>
      </x:c>
      <x:c r="H16" s="56" t="str">
        <x:f>IF(AND(H$5&gt;='任务与甘特'!$T17,H$5&lt;='任务与甘特'!$U17),"■","")</x:f>
      </x:c>
      <x:c r="I16" s="56" t="str">
        <x:f>IF(AND(I$5&gt;='任务与甘特'!$T17,I$5&lt;='任务与甘特'!$U17),"■","")</x:f>
        <x:v>■</x:v>
      </x:c>
      <x:c r="J16" s="56" t="str">
        <x:f>IF(AND(J$5&gt;='任务与甘特'!$T17,J$5&lt;='任务与甘特'!$U17),"■","")</x:f>
        <x:v>■</x:v>
      </x:c>
      <x:c r="K16" s="56" t="str">
        <x:f>IF(AND(K$5&gt;='任务与甘特'!$T17,K$5&lt;='任务与甘特'!$U17),"■","")</x:f>
      </x:c>
      <x:c r="L16" s="56" t="str">
        <x:f>IF(AND(L$5&gt;='任务与甘特'!$T17,L$5&lt;='任务与甘特'!$U17),"■","")</x:f>
      </x:c>
      <x:c r="M16" s="56" t="str">
        <x:f>IF(AND(M$5&gt;='任务与甘特'!$T17,M$5&lt;='任务与甘特'!$U17),"■","")</x:f>
      </x:c>
      <x:c r="N16" s="56" t="str">
        <x:f>IF(AND(N$5&gt;='任务与甘特'!$T17,N$5&lt;='任务与甘特'!$U17),"■","")</x:f>
      </x:c>
      <x:c r="O16" s="56" t="str">
        <x:f>IF(AND(O$5&gt;='任务与甘特'!$T17,O$5&lt;='任务与甘特'!$U17),"■","")</x:f>
      </x:c>
      <x:c r="P16" s="56" t="str">
        <x:f>IF(AND(P$5&gt;='任务与甘特'!$T17,P$5&lt;='任务与甘特'!$U17),"■","")</x:f>
      </x:c>
      <x:c r="Q16" s="56" t="str">
        <x:f>IF(AND(Q$5&gt;='任务与甘特'!$T17,Q$5&lt;='任务与甘特'!$U17),"■","")</x:f>
      </x:c>
      <x:c r="R16" s="56" t="str">
        <x:f>IF(AND(R$5&gt;='任务与甘特'!$T17,R$5&lt;='任务与甘特'!$U17),"■","")</x:f>
      </x:c>
      <x:c r="S16" s="56" t="str">
        <x:f>IF(AND(S$5&gt;='任务与甘特'!$T17,S$5&lt;='任务与甘特'!$U17),"■","")</x:f>
      </x:c>
      <x:c r="T16" s="56" t="str">
        <x:f>IF(AND(T$5&gt;='任务与甘特'!$T17,T$5&lt;='任务与甘特'!$U17),"■","")</x:f>
      </x:c>
      <x:c r="U16" s="56" t="str">
        <x:f>IF(AND(U$5&gt;='任务与甘特'!$T17,U$5&lt;='任务与甘特'!$U17),"■","")</x:f>
      </x:c>
      <x:c r="V16" s="56" t="str">
        <x:f>IF(AND(V$5&gt;='任务与甘特'!$T17,V$5&lt;='任务与甘特'!$U17),"■","")</x:f>
      </x:c>
      <x:c r="W16" s="56" t="str">
        <x:f>IF(AND(W$5&gt;='任务与甘特'!$T17,W$5&lt;='任务与甘特'!$U17),"■","")</x:f>
      </x:c>
      <x:c r="X16" s="56" t="str">
        <x:f>IF(AND(X$5&gt;='任务与甘特'!$T17,X$5&lt;='任务与甘特'!$U17),"■","")</x:f>
      </x:c>
      <x:c r="Y16" s="56" t="str">
        <x:f>IF(AND(Y$5&gt;='任务与甘特'!$T17,Y$5&lt;='任务与甘特'!$U17),"■","")</x:f>
      </x:c>
      <x:c r="Z16" s="56" t="str">
        <x:f>IF(AND(Z$5&gt;='任务与甘特'!$T17,Z$5&lt;='任务与甘特'!$U17),"■","")</x:f>
      </x:c>
      <x:c r="AA16" s="56" t="str">
        <x:f>IF(AND(AA$5&gt;='任务与甘特'!$T17,AA$5&lt;='任务与甘特'!$U17),"■","")</x:f>
      </x:c>
      <x:c r="AB16" s="56" t="str">
        <x:f>IF(AND(AB$5&gt;='任务与甘特'!$T17,AB$5&lt;='任务与甘特'!$U17),"■","")</x:f>
      </x:c>
      <x:c r="AC16" s="56" t="str">
        <x:f>IF(AND(AC$5&gt;='任务与甘特'!$T17,AC$5&lt;='任务与甘特'!$U17),"■","")</x:f>
      </x:c>
      <x:c r="AD16" s="56" t="str">
        <x:f>IF(AND(AD$5&gt;='任务与甘特'!$T17,AD$5&lt;='任务与甘特'!$U17),"■","")</x:f>
      </x:c>
      <x:c r="AE16" s="56" t="str">
        <x:f>IF(AND(AE$5&gt;='任务与甘特'!$T17,AE$5&lt;='任务与甘特'!$U17),"■","")</x:f>
      </x:c>
      <x:c r="AF16" s="56" t="str">
        <x:f>IF(AND(AF$5&gt;='任务与甘特'!$T17,AF$5&lt;='任务与甘特'!$U17),"■","")</x:f>
      </x:c>
      <x:c r="AG16" s="56" t="str">
        <x:f>IF(AND(AG$5&gt;='任务与甘特'!$T17,AG$5&lt;='任务与甘特'!$U17),"■","")</x:f>
      </x:c>
      <x:c r="AH16" s="56" t="str">
        <x:f>IF(AND(AH$5&gt;='任务与甘特'!$T17,AH$5&lt;='任务与甘特'!$U17),"■","")</x:f>
      </x:c>
      <x:c r="AI16" s="56" t="str">
        <x:f>IF(AND(AI$5&gt;='任务与甘特'!$T17,AI$5&lt;='任务与甘特'!$U17),"■","")</x:f>
      </x:c>
      <x:c r="AJ16" s="56" t="str">
        <x:f>IF(AND(AJ$5&gt;='任务与甘特'!$T17,AJ$5&lt;='任务与甘特'!$U17),"■","")</x:f>
      </x:c>
      <x:c r="AK16" s="56" t="str">
        <x:f>IF(AND(AK$5&gt;='任务与甘特'!$T17,AK$5&lt;='任务与甘特'!$U17),"■","")</x:f>
      </x:c>
      <x:c r="AL16" s="56" t="str">
        <x:f>IF(AND(AL$5&gt;='任务与甘特'!$T17,AL$5&lt;='任务与甘特'!$U17),"■","")</x:f>
      </x:c>
      <x:c r="AM16" s="56" t="str">
        <x:f>IF(AND(AM$5&gt;='任务与甘特'!$T17,AM$5&lt;='任务与甘特'!$U17),"■","")</x:f>
      </x:c>
      <x:c r="AN16" s="56" t="str">
        <x:f>IF(AND(AN$5&gt;='任务与甘特'!$T17,AN$5&lt;='任务与甘特'!$U17),"■","")</x:f>
      </x:c>
      <x:c r="AO16" s="56" t="str">
        <x:f>IF(AND(AO$5&gt;='任务与甘特'!$T17,AO$5&lt;='任务与甘特'!$U17),"■","")</x:f>
      </x:c>
      <x:c r="AP16" s="56" t="str">
        <x:f>IF(AND(AP$5&gt;='任务与甘特'!$T17,AP$5&lt;='任务与甘特'!$U17),"■","")</x:f>
      </x:c>
    </x:row>
    <x:row r="17" ht="38" customHeight="1">
      <x:c r="A17" s="29" t="str">
        <x:f>'任务与甘特'!A18</x:f>
        <x:v>T3.4</x:v>
      </x:c>
      <x:c r="B17" s="29" t="str">
        <x:f>'任务与甘特'!B18</x:f>
        <x:v>实现企业资料与备案审批</x:v>
      </x:c>
      <x:c r="C17" s="56" t="str">
        <x:f>IF(AND(C$5&gt;='任务与甘特'!$T18,C$5&lt;='任务与甘特'!$U18),"■","")</x:f>
      </x:c>
      <x:c r="D17" s="56" t="str">
        <x:f>IF(AND(D$5&gt;='任务与甘特'!$T18,D$5&lt;='任务与甘特'!$U18),"■","")</x:f>
      </x:c>
      <x:c r="E17" s="56" t="str">
        <x:f>IF(AND(E$5&gt;='任务与甘特'!$T18,E$5&lt;='任务与甘特'!$U18),"■","")</x:f>
      </x:c>
      <x:c r="F17" s="56" t="str">
        <x:f>IF(AND(F$5&gt;='任务与甘特'!$T18,F$5&lt;='任务与甘特'!$U18),"■","")</x:f>
      </x:c>
      <x:c r="G17" s="56" t="str">
        <x:f>IF(AND(G$5&gt;='任务与甘特'!$T18,G$5&lt;='任务与甘特'!$U18),"■","")</x:f>
      </x:c>
      <x:c r="H17" s="56" t="str">
        <x:f>IF(AND(H$5&gt;='任务与甘特'!$T18,H$5&lt;='任务与甘特'!$U18),"■","")</x:f>
      </x:c>
      <x:c r="I17" s="56" t="str">
        <x:f>IF(AND(I$5&gt;='任务与甘特'!$T18,I$5&lt;='任务与甘特'!$U18),"■","")</x:f>
      </x:c>
      <x:c r="J17" s="56" t="str">
        <x:f>IF(AND(J$5&gt;='任务与甘特'!$T18,J$5&lt;='任务与甘特'!$U18),"■","")</x:f>
      </x:c>
      <x:c r="K17" s="56" t="str">
        <x:f>IF(AND(K$5&gt;='任务与甘特'!$T18,K$5&lt;='任务与甘特'!$U18),"■","")</x:f>
      </x:c>
      <x:c r="L17" s="56" t="str">
        <x:f>IF(AND(L$5&gt;='任务与甘特'!$T18,L$5&lt;='任务与甘特'!$U18),"■","")</x:f>
        <x:v>■</x:v>
      </x:c>
      <x:c r="M17" s="56" t="str">
        <x:f>IF(AND(M$5&gt;='任务与甘特'!$T18,M$5&lt;='任务与甘特'!$U18),"■","")</x:f>
        <x:v>■</x:v>
      </x:c>
      <x:c r="N17" s="56" t="str">
        <x:f>IF(AND(N$5&gt;='任务与甘特'!$T18,N$5&lt;='任务与甘特'!$U18),"■","")</x:f>
        <x:v>■</x:v>
      </x:c>
      <x:c r="O17" s="56" t="str">
        <x:f>IF(AND(O$5&gt;='任务与甘特'!$T18,O$5&lt;='任务与甘特'!$U18),"■","")</x:f>
      </x:c>
      <x:c r="P17" s="56" t="str">
        <x:f>IF(AND(P$5&gt;='任务与甘特'!$T18,P$5&lt;='任务与甘特'!$U18),"■","")</x:f>
      </x:c>
      <x:c r="Q17" s="56" t="str">
        <x:f>IF(AND(Q$5&gt;='任务与甘特'!$T18,Q$5&lt;='任务与甘特'!$U18),"■","")</x:f>
      </x:c>
      <x:c r="R17" s="56" t="str">
        <x:f>IF(AND(R$5&gt;='任务与甘特'!$T18,R$5&lt;='任务与甘特'!$U18),"■","")</x:f>
      </x:c>
      <x:c r="S17" s="56" t="str">
        <x:f>IF(AND(S$5&gt;='任务与甘特'!$T18,S$5&lt;='任务与甘特'!$U18),"■","")</x:f>
      </x:c>
      <x:c r="T17" s="56" t="str">
        <x:f>IF(AND(T$5&gt;='任务与甘特'!$T18,T$5&lt;='任务与甘特'!$U18),"■","")</x:f>
      </x:c>
      <x:c r="U17" s="56" t="str">
        <x:f>IF(AND(U$5&gt;='任务与甘特'!$T18,U$5&lt;='任务与甘特'!$U18),"■","")</x:f>
      </x:c>
      <x:c r="V17" s="56" t="str">
        <x:f>IF(AND(V$5&gt;='任务与甘特'!$T18,V$5&lt;='任务与甘特'!$U18),"■","")</x:f>
      </x:c>
      <x:c r="W17" s="56" t="str">
        <x:f>IF(AND(W$5&gt;='任务与甘特'!$T18,W$5&lt;='任务与甘特'!$U18),"■","")</x:f>
      </x:c>
      <x:c r="X17" s="56" t="str">
        <x:f>IF(AND(X$5&gt;='任务与甘特'!$T18,X$5&lt;='任务与甘特'!$U18),"■","")</x:f>
      </x:c>
      <x:c r="Y17" s="56" t="str">
        <x:f>IF(AND(Y$5&gt;='任务与甘特'!$T18,Y$5&lt;='任务与甘特'!$U18),"■","")</x:f>
      </x:c>
      <x:c r="Z17" s="56" t="str">
        <x:f>IF(AND(Z$5&gt;='任务与甘特'!$T18,Z$5&lt;='任务与甘特'!$U18),"■","")</x:f>
      </x:c>
      <x:c r="AA17" s="56" t="str">
        <x:f>IF(AND(AA$5&gt;='任务与甘特'!$T18,AA$5&lt;='任务与甘特'!$U18),"■","")</x:f>
      </x:c>
      <x:c r="AB17" s="56" t="str">
        <x:f>IF(AND(AB$5&gt;='任务与甘特'!$T18,AB$5&lt;='任务与甘特'!$U18),"■","")</x:f>
      </x:c>
      <x:c r="AC17" s="56" t="str">
        <x:f>IF(AND(AC$5&gt;='任务与甘特'!$T18,AC$5&lt;='任务与甘特'!$U18),"■","")</x:f>
      </x:c>
      <x:c r="AD17" s="56" t="str">
        <x:f>IF(AND(AD$5&gt;='任务与甘特'!$T18,AD$5&lt;='任务与甘特'!$U18),"■","")</x:f>
      </x:c>
      <x:c r="AE17" s="56" t="str">
        <x:f>IF(AND(AE$5&gt;='任务与甘特'!$T18,AE$5&lt;='任务与甘特'!$U18),"■","")</x:f>
      </x:c>
      <x:c r="AF17" s="56" t="str">
        <x:f>IF(AND(AF$5&gt;='任务与甘特'!$T18,AF$5&lt;='任务与甘特'!$U18),"■","")</x:f>
      </x:c>
      <x:c r="AG17" s="56" t="str">
        <x:f>IF(AND(AG$5&gt;='任务与甘特'!$T18,AG$5&lt;='任务与甘特'!$U18),"■","")</x:f>
      </x:c>
      <x:c r="AH17" s="56" t="str">
        <x:f>IF(AND(AH$5&gt;='任务与甘特'!$T18,AH$5&lt;='任务与甘特'!$U18),"■","")</x:f>
      </x:c>
      <x:c r="AI17" s="56" t="str">
        <x:f>IF(AND(AI$5&gt;='任务与甘特'!$T18,AI$5&lt;='任务与甘特'!$U18),"■","")</x:f>
      </x:c>
      <x:c r="AJ17" s="56" t="str">
        <x:f>IF(AND(AJ$5&gt;='任务与甘特'!$T18,AJ$5&lt;='任务与甘特'!$U18),"■","")</x:f>
      </x:c>
      <x:c r="AK17" s="56" t="str">
        <x:f>IF(AND(AK$5&gt;='任务与甘特'!$T18,AK$5&lt;='任务与甘特'!$U18),"■","")</x:f>
      </x:c>
      <x:c r="AL17" s="56" t="str">
        <x:f>IF(AND(AL$5&gt;='任务与甘特'!$T18,AL$5&lt;='任务与甘特'!$U18),"■","")</x:f>
      </x:c>
      <x:c r="AM17" s="56" t="str">
        <x:f>IF(AND(AM$5&gt;='任务与甘特'!$T18,AM$5&lt;='任务与甘特'!$U18),"■","")</x:f>
      </x:c>
      <x:c r="AN17" s="56" t="str">
        <x:f>IF(AND(AN$5&gt;='任务与甘特'!$T18,AN$5&lt;='任务与甘特'!$U18),"■","")</x:f>
      </x:c>
      <x:c r="AO17" s="56" t="str">
        <x:f>IF(AND(AO$5&gt;='任务与甘特'!$T18,AO$5&lt;='任务与甘特'!$U18),"■","")</x:f>
      </x:c>
      <x:c r="AP17" s="56" t="str">
        <x:f>IF(AND(AP$5&gt;='任务与甘特'!$T18,AP$5&lt;='任务与甘特'!$U18),"■","")</x:f>
      </x:c>
    </x:row>
    <x:row r="18" ht="38" customHeight="1">
      <x:c r="A18" s="29" t="str">
        <x:f>'任务与甘特'!A19</x:f>
        <x:v>T3.5</x:v>
      </x:c>
      <x:c r="B18" s="29" t="str">
        <x:f>'任务与甘特'!B19</x:f>
        <x:v>实现月报草稿、校验与提交</x:v>
      </x:c>
      <x:c r="C18" s="56" t="str">
        <x:f>IF(AND(C$5&gt;='任务与甘特'!$T19,C$5&lt;='任务与甘特'!$U19),"■","")</x:f>
      </x:c>
      <x:c r="D18" s="56" t="str">
        <x:f>IF(AND(D$5&gt;='任务与甘特'!$T19,D$5&lt;='任务与甘特'!$U19),"■","")</x:f>
      </x:c>
      <x:c r="E18" s="56" t="str">
        <x:f>IF(AND(E$5&gt;='任务与甘特'!$T19,E$5&lt;='任务与甘特'!$U19),"■","")</x:f>
      </x:c>
      <x:c r="F18" s="56" t="str">
        <x:f>IF(AND(F$5&gt;='任务与甘特'!$T19,F$5&lt;='任务与甘特'!$U19),"■","")</x:f>
      </x:c>
      <x:c r="G18" s="56" t="str">
        <x:f>IF(AND(G$5&gt;='任务与甘特'!$T19,G$5&lt;='任务与甘特'!$U19),"■","")</x:f>
      </x:c>
      <x:c r="H18" s="56" t="str">
        <x:f>IF(AND(H$5&gt;='任务与甘特'!$T19,H$5&lt;='任务与甘特'!$U19),"■","")</x:f>
      </x:c>
      <x:c r="I18" s="56" t="str">
        <x:f>IF(AND(I$5&gt;='任务与甘特'!$T19,I$5&lt;='任务与甘特'!$U19),"■","")</x:f>
      </x:c>
      <x:c r="J18" s="56" t="str">
        <x:f>IF(AND(J$5&gt;='任务与甘特'!$T19,J$5&lt;='任务与甘特'!$U19),"■","")</x:f>
      </x:c>
      <x:c r="K18" s="56" t="str">
        <x:f>IF(AND(K$5&gt;='任务与甘特'!$T19,K$5&lt;='任务与甘特'!$U19),"■","")</x:f>
      </x:c>
      <x:c r="L18" s="56" t="str">
        <x:f>IF(AND(L$5&gt;='任务与甘特'!$T19,L$5&lt;='任务与甘特'!$U19),"■","")</x:f>
      </x:c>
      <x:c r="M18" s="56" t="str">
        <x:f>IF(AND(M$5&gt;='任务与甘特'!$T19,M$5&lt;='任务与甘特'!$U19),"■","")</x:f>
      </x:c>
      <x:c r="N18" s="56" t="str">
        <x:f>IF(AND(N$5&gt;='任务与甘特'!$T19,N$5&lt;='任务与甘特'!$U19),"■","")</x:f>
        <x:v>■</x:v>
      </x:c>
      <x:c r="O18" s="56" t="str">
        <x:f>IF(AND(O$5&gt;='任务与甘特'!$T19,O$5&lt;='任务与甘特'!$U19),"■","")</x:f>
        <x:v>■</x:v>
      </x:c>
      <x:c r="P18" s="56" t="str">
        <x:f>IF(AND(P$5&gt;='任务与甘特'!$T19,P$5&lt;='任务与甘特'!$U19),"■","")</x:f>
        <x:v>■</x:v>
      </x:c>
      <x:c r="Q18" s="56" t="str">
        <x:f>IF(AND(Q$5&gt;='任务与甘特'!$T19,Q$5&lt;='任务与甘特'!$U19),"■","")</x:f>
      </x:c>
      <x:c r="R18" s="56" t="str">
        <x:f>IF(AND(R$5&gt;='任务与甘特'!$T19,R$5&lt;='任务与甘特'!$U19),"■","")</x:f>
      </x:c>
      <x:c r="S18" s="56" t="str">
        <x:f>IF(AND(S$5&gt;='任务与甘特'!$T19,S$5&lt;='任务与甘特'!$U19),"■","")</x:f>
      </x:c>
      <x:c r="T18" s="56" t="str">
        <x:f>IF(AND(T$5&gt;='任务与甘特'!$T19,T$5&lt;='任务与甘特'!$U19),"■","")</x:f>
      </x:c>
      <x:c r="U18" s="56" t="str">
        <x:f>IF(AND(U$5&gt;='任务与甘特'!$T19,U$5&lt;='任务与甘特'!$U19),"■","")</x:f>
      </x:c>
      <x:c r="V18" s="56" t="str">
        <x:f>IF(AND(V$5&gt;='任务与甘特'!$T19,V$5&lt;='任务与甘特'!$U19),"■","")</x:f>
      </x:c>
      <x:c r="W18" s="56" t="str">
        <x:f>IF(AND(W$5&gt;='任务与甘特'!$T19,W$5&lt;='任务与甘特'!$U19),"■","")</x:f>
      </x:c>
      <x:c r="X18" s="56" t="str">
        <x:f>IF(AND(X$5&gt;='任务与甘特'!$T19,X$5&lt;='任务与甘特'!$U19),"■","")</x:f>
      </x:c>
      <x:c r="Y18" s="56" t="str">
        <x:f>IF(AND(Y$5&gt;='任务与甘特'!$T19,Y$5&lt;='任务与甘特'!$U19),"■","")</x:f>
      </x:c>
      <x:c r="Z18" s="56" t="str">
        <x:f>IF(AND(Z$5&gt;='任务与甘特'!$T19,Z$5&lt;='任务与甘特'!$U19),"■","")</x:f>
      </x:c>
      <x:c r="AA18" s="56" t="str">
        <x:f>IF(AND(AA$5&gt;='任务与甘特'!$T19,AA$5&lt;='任务与甘特'!$U19),"■","")</x:f>
      </x:c>
      <x:c r="AB18" s="56" t="str">
        <x:f>IF(AND(AB$5&gt;='任务与甘特'!$T19,AB$5&lt;='任务与甘特'!$U19),"■","")</x:f>
      </x:c>
      <x:c r="AC18" s="56" t="str">
        <x:f>IF(AND(AC$5&gt;='任务与甘特'!$T19,AC$5&lt;='任务与甘特'!$U19),"■","")</x:f>
      </x:c>
      <x:c r="AD18" s="56" t="str">
        <x:f>IF(AND(AD$5&gt;='任务与甘特'!$T19,AD$5&lt;='任务与甘特'!$U19),"■","")</x:f>
      </x:c>
      <x:c r="AE18" s="56" t="str">
        <x:f>IF(AND(AE$5&gt;='任务与甘特'!$T19,AE$5&lt;='任务与甘特'!$U19),"■","")</x:f>
      </x:c>
      <x:c r="AF18" s="56" t="str">
        <x:f>IF(AND(AF$5&gt;='任务与甘特'!$T19,AF$5&lt;='任务与甘特'!$U19),"■","")</x:f>
      </x:c>
      <x:c r="AG18" s="56" t="str">
        <x:f>IF(AND(AG$5&gt;='任务与甘特'!$T19,AG$5&lt;='任务与甘特'!$U19),"■","")</x:f>
      </x:c>
      <x:c r="AH18" s="56" t="str">
        <x:f>IF(AND(AH$5&gt;='任务与甘特'!$T19,AH$5&lt;='任务与甘特'!$U19),"■","")</x:f>
      </x:c>
      <x:c r="AI18" s="56" t="str">
        <x:f>IF(AND(AI$5&gt;='任务与甘特'!$T19,AI$5&lt;='任务与甘特'!$U19),"■","")</x:f>
      </x:c>
      <x:c r="AJ18" s="56" t="str">
        <x:f>IF(AND(AJ$5&gt;='任务与甘特'!$T19,AJ$5&lt;='任务与甘特'!$U19),"■","")</x:f>
      </x:c>
      <x:c r="AK18" s="56" t="str">
        <x:f>IF(AND(AK$5&gt;='任务与甘特'!$T19,AK$5&lt;='任务与甘特'!$U19),"■","")</x:f>
      </x:c>
      <x:c r="AL18" s="56" t="str">
        <x:f>IF(AND(AL$5&gt;='任务与甘特'!$T19,AL$5&lt;='任务与甘特'!$U19),"■","")</x:f>
      </x:c>
      <x:c r="AM18" s="56" t="str">
        <x:f>IF(AND(AM$5&gt;='任务与甘特'!$T19,AM$5&lt;='任务与甘特'!$U19),"■","")</x:f>
      </x:c>
      <x:c r="AN18" s="56" t="str">
        <x:f>IF(AND(AN$5&gt;='任务与甘特'!$T19,AN$5&lt;='任务与甘特'!$U19),"■","")</x:f>
      </x:c>
      <x:c r="AO18" s="56" t="str">
        <x:f>IF(AND(AO$5&gt;='任务与甘特'!$T19,AO$5&lt;='任务与甘特'!$U19),"■","")</x:f>
      </x:c>
      <x:c r="AP18" s="56" t="str">
        <x:f>IF(AND(AP$5&gt;='任务与甘特'!$T19,AP$5&lt;='任务与甘特'!$U19),"■","")</x:f>
      </x:c>
    </x:row>
    <x:row r="19" ht="38" customHeight="1">
      <x:c r="A19" s="29" t="str">
        <x:f>'任务与甘特'!A20</x:f>
        <x:v>T3.6</x:v>
      </x:c>
      <x:c r="B19" s="29" t="str">
        <x:f>'任务与甘特'!B20</x:f>
        <x:v>实现市省审核与退回重提</x:v>
      </x:c>
      <x:c r="C19" s="56" t="str">
        <x:f>IF(AND(C$5&gt;='任务与甘特'!$T20,C$5&lt;='任务与甘特'!$U20),"■","")</x:f>
      </x:c>
      <x:c r="D19" s="56" t="str">
        <x:f>IF(AND(D$5&gt;='任务与甘特'!$T20,D$5&lt;='任务与甘特'!$U20),"■","")</x:f>
      </x:c>
      <x:c r="E19" s="56" t="str">
        <x:f>IF(AND(E$5&gt;='任务与甘特'!$T20,E$5&lt;='任务与甘特'!$U20),"■","")</x:f>
      </x:c>
      <x:c r="F19" s="56" t="str">
        <x:f>IF(AND(F$5&gt;='任务与甘特'!$T20,F$5&lt;='任务与甘特'!$U20),"■","")</x:f>
      </x:c>
      <x:c r="G19" s="56" t="str">
        <x:f>IF(AND(G$5&gt;='任务与甘特'!$T20,G$5&lt;='任务与甘特'!$U20),"■","")</x:f>
      </x:c>
      <x:c r="H19" s="56" t="str">
        <x:f>IF(AND(H$5&gt;='任务与甘特'!$T20,H$5&lt;='任务与甘特'!$U20),"■","")</x:f>
      </x:c>
      <x:c r="I19" s="56" t="str">
        <x:f>IF(AND(I$5&gt;='任务与甘特'!$T20,I$5&lt;='任务与甘特'!$U20),"■","")</x:f>
      </x:c>
      <x:c r="J19" s="56" t="str">
        <x:f>IF(AND(J$5&gt;='任务与甘特'!$T20,J$5&lt;='任务与甘特'!$U20),"■","")</x:f>
      </x:c>
      <x:c r="K19" s="56" t="str">
        <x:f>IF(AND(K$5&gt;='任务与甘特'!$T20,K$5&lt;='任务与甘特'!$U20),"■","")</x:f>
      </x:c>
      <x:c r="L19" s="56" t="str">
        <x:f>IF(AND(L$5&gt;='任务与甘特'!$T20,L$5&lt;='任务与甘特'!$U20),"■","")</x:f>
      </x:c>
      <x:c r="M19" s="56" t="str">
        <x:f>IF(AND(M$5&gt;='任务与甘特'!$T20,M$5&lt;='任务与甘特'!$U20),"■","")</x:f>
      </x:c>
      <x:c r="N19" s="56" t="str">
        <x:f>IF(AND(N$5&gt;='任务与甘特'!$T20,N$5&lt;='任务与甘特'!$U20),"■","")</x:f>
      </x:c>
      <x:c r="O19" s="56" t="str">
        <x:f>IF(AND(O$5&gt;='任务与甘特'!$T20,O$5&lt;='任务与甘特'!$U20),"■","")</x:f>
        <x:v>■</x:v>
      </x:c>
      <x:c r="P19" s="56" t="str">
        <x:f>IF(AND(P$5&gt;='任务与甘特'!$T20,P$5&lt;='任务与甘特'!$U20),"■","")</x:f>
        <x:v>■</x:v>
      </x:c>
      <x:c r="Q19" s="56" t="str">
        <x:f>IF(AND(Q$5&gt;='任务与甘特'!$T20,Q$5&lt;='任务与甘特'!$U20),"■","")</x:f>
      </x:c>
      <x:c r="R19" s="56" t="str">
        <x:f>IF(AND(R$5&gt;='任务与甘特'!$T20,R$5&lt;='任务与甘特'!$U20),"■","")</x:f>
      </x:c>
      <x:c r="S19" s="56" t="str">
        <x:f>IF(AND(S$5&gt;='任务与甘特'!$T20,S$5&lt;='任务与甘特'!$U20),"■","")</x:f>
      </x:c>
      <x:c r="T19" s="56" t="str">
        <x:f>IF(AND(T$5&gt;='任务与甘特'!$T20,T$5&lt;='任务与甘特'!$U20),"■","")</x:f>
      </x:c>
      <x:c r="U19" s="56" t="str">
        <x:f>IF(AND(U$5&gt;='任务与甘特'!$T20,U$5&lt;='任务与甘特'!$U20),"■","")</x:f>
      </x:c>
      <x:c r="V19" s="56" t="str">
        <x:f>IF(AND(V$5&gt;='任务与甘特'!$T20,V$5&lt;='任务与甘特'!$U20),"■","")</x:f>
      </x:c>
      <x:c r="W19" s="56" t="str">
        <x:f>IF(AND(W$5&gt;='任务与甘特'!$T20,W$5&lt;='任务与甘特'!$U20),"■","")</x:f>
      </x:c>
      <x:c r="X19" s="56" t="str">
        <x:f>IF(AND(X$5&gt;='任务与甘特'!$T20,X$5&lt;='任务与甘特'!$U20),"■","")</x:f>
      </x:c>
      <x:c r="Y19" s="56" t="str">
        <x:f>IF(AND(Y$5&gt;='任务与甘特'!$T20,Y$5&lt;='任务与甘特'!$U20),"■","")</x:f>
      </x:c>
      <x:c r="Z19" s="56" t="str">
        <x:f>IF(AND(Z$5&gt;='任务与甘特'!$T20,Z$5&lt;='任务与甘特'!$U20),"■","")</x:f>
      </x:c>
      <x:c r="AA19" s="56" t="str">
        <x:f>IF(AND(AA$5&gt;='任务与甘特'!$T20,AA$5&lt;='任务与甘特'!$U20),"■","")</x:f>
      </x:c>
      <x:c r="AB19" s="56" t="str">
        <x:f>IF(AND(AB$5&gt;='任务与甘特'!$T20,AB$5&lt;='任务与甘特'!$U20),"■","")</x:f>
      </x:c>
      <x:c r="AC19" s="56" t="str">
        <x:f>IF(AND(AC$5&gt;='任务与甘特'!$T20,AC$5&lt;='任务与甘特'!$U20),"■","")</x:f>
      </x:c>
      <x:c r="AD19" s="56" t="str">
        <x:f>IF(AND(AD$5&gt;='任务与甘特'!$T20,AD$5&lt;='任务与甘特'!$U20),"■","")</x:f>
      </x:c>
      <x:c r="AE19" s="56" t="str">
        <x:f>IF(AND(AE$5&gt;='任务与甘特'!$T20,AE$5&lt;='任务与甘特'!$U20),"■","")</x:f>
      </x:c>
      <x:c r="AF19" s="56" t="str">
        <x:f>IF(AND(AF$5&gt;='任务与甘特'!$T20,AF$5&lt;='任务与甘特'!$U20),"■","")</x:f>
      </x:c>
      <x:c r="AG19" s="56" t="str">
        <x:f>IF(AND(AG$5&gt;='任务与甘特'!$T20,AG$5&lt;='任务与甘特'!$U20),"■","")</x:f>
      </x:c>
      <x:c r="AH19" s="56" t="str">
        <x:f>IF(AND(AH$5&gt;='任务与甘特'!$T20,AH$5&lt;='任务与甘特'!$U20),"■","")</x:f>
      </x:c>
      <x:c r="AI19" s="56" t="str">
        <x:f>IF(AND(AI$5&gt;='任务与甘特'!$T20,AI$5&lt;='任务与甘特'!$U20),"■","")</x:f>
      </x:c>
      <x:c r="AJ19" s="56" t="str">
        <x:f>IF(AND(AJ$5&gt;='任务与甘特'!$T20,AJ$5&lt;='任务与甘特'!$U20),"■","")</x:f>
      </x:c>
      <x:c r="AK19" s="56" t="str">
        <x:f>IF(AND(AK$5&gt;='任务与甘特'!$T20,AK$5&lt;='任务与甘特'!$U20),"■","")</x:f>
      </x:c>
      <x:c r="AL19" s="56" t="str">
        <x:f>IF(AND(AL$5&gt;='任务与甘特'!$T20,AL$5&lt;='任务与甘特'!$U20),"■","")</x:f>
      </x:c>
      <x:c r="AM19" s="56" t="str">
        <x:f>IF(AND(AM$5&gt;='任务与甘特'!$T20,AM$5&lt;='任务与甘特'!$U20),"■","")</x:f>
      </x:c>
      <x:c r="AN19" s="56" t="str">
        <x:f>IF(AND(AN$5&gt;='任务与甘特'!$T20,AN$5&lt;='任务与甘特'!$U20),"■","")</x:f>
      </x:c>
      <x:c r="AO19" s="56" t="str">
        <x:f>IF(AND(AO$5&gt;='任务与甘特'!$T20,AO$5&lt;='任务与甘特'!$U20),"■","")</x:f>
      </x:c>
      <x:c r="AP19" s="56" t="str">
        <x:f>IF(AND(AP$5&gt;='任务与甘特'!$T20,AP$5&lt;='任务与甘特'!$U20),"■","")</x:f>
      </x:c>
    </x:row>
    <x:row r="20" ht="38" customHeight="1">
      <x:c r="A20" s="29" t="str">
        <x:f>'任务与甘特'!A21</x:f>
        <x:v>T3.7</x:v>
      </x:c>
      <x:c r="B20" s="29" t="str">
        <x:f>'任务与甘特'!B21</x:f>
        <x:v>实现调查期与补报授权</x:v>
      </x:c>
      <x:c r="C20" s="56" t="str">
        <x:f>IF(AND(C$5&gt;='任务与甘特'!$T21,C$5&lt;='任务与甘特'!$U21),"■","")</x:f>
      </x:c>
      <x:c r="D20" s="56" t="str">
        <x:f>IF(AND(D$5&gt;='任务与甘特'!$T21,D$5&lt;='任务与甘特'!$U21),"■","")</x:f>
      </x:c>
      <x:c r="E20" s="56" t="str">
        <x:f>IF(AND(E$5&gt;='任务与甘特'!$T21,E$5&lt;='任务与甘特'!$U21),"■","")</x:f>
      </x:c>
      <x:c r="F20" s="56" t="str">
        <x:f>IF(AND(F$5&gt;='任务与甘特'!$T21,F$5&lt;='任务与甘特'!$U21),"■","")</x:f>
      </x:c>
      <x:c r="G20" s="56" t="str">
        <x:f>IF(AND(G$5&gt;='任务与甘特'!$T21,G$5&lt;='任务与甘特'!$U21),"■","")</x:f>
      </x:c>
      <x:c r="H20" s="56" t="str">
        <x:f>IF(AND(H$5&gt;='任务与甘特'!$T21,H$5&lt;='任务与甘特'!$U21),"■","")</x:f>
      </x:c>
      <x:c r="I20" s="56" t="str">
        <x:f>IF(AND(I$5&gt;='任务与甘特'!$T21,I$5&lt;='任务与甘特'!$U21),"■","")</x:f>
      </x:c>
      <x:c r="J20" s="56" t="str">
        <x:f>IF(AND(J$5&gt;='任务与甘特'!$T21,J$5&lt;='任务与甘特'!$U21),"■","")</x:f>
      </x:c>
      <x:c r="K20" s="56" t="str">
        <x:f>IF(AND(K$5&gt;='任务与甘特'!$T21,K$5&lt;='任务与甘特'!$U21),"■","")</x:f>
      </x:c>
      <x:c r="L20" s="56" t="str">
        <x:f>IF(AND(L$5&gt;='任务与甘特'!$T21,L$5&lt;='任务与甘特'!$U21),"■","")</x:f>
        <x:v>■</x:v>
      </x:c>
      <x:c r="M20" s="56" t="str">
        <x:f>IF(AND(M$5&gt;='任务与甘特'!$T21,M$5&lt;='任务与甘特'!$U21),"■","")</x:f>
        <x:v>■</x:v>
      </x:c>
      <x:c r="N20" s="56" t="str">
        <x:f>IF(AND(N$5&gt;='任务与甘特'!$T21,N$5&lt;='任务与甘特'!$U21),"■","")</x:f>
      </x:c>
      <x:c r="O20" s="56" t="str">
        <x:f>IF(AND(O$5&gt;='任务与甘特'!$T21,O$5&lt;='任务与甘特'!$U21),"■","")</x:f>
      </x:c>
      <x:c r="P20" s="56" t="str">
        <x:f>IF(AND(P$5&gt;='任务与甘特'!$T21,P$5&lt;='任务与甘特'!$U21),"■","")</x:f>
      </x:c>
      <x:c r="Q20" s="56" t="str">
        <x:f>IF(AND(Q$5&gt;='任务与甘特'!$T21,Q$5&lt;='任务与甘特'!$U21),"■","")</x:f>
      </x:c>
      <x:c r="R20" s="56" t="str">
        <x:f>IF(AND(R$5&gt;='任务与甘特'!$T21,R$5&lt;='任务与甘特'!$U21),"■","")</x:f>
      </x:c>
      <x:c r="S20" s="56" t="str">
        <x:f>IF(AND(S$5&gt;='任务与甘特'!$T21,S$5&lt;='任务与甘特'!$U21),"■","")</x:f>
      </x:c>
      <x:c r="T20" s="56" t="str">
        <x:f>IF(AND(T$5&gt;='任务与甘特'!$T21,T$5&lt;='任务与甘特'!$U21),"■","")</x:f>
      </x:c>
      <x:c r="U20" s="56" t="str">
        <x:f>IF(AND(U$5&gt;='任务与甘特'!$T21,U$5&lt;='任务与甘特'!$U21),"■","")</x:f>
      </x:c>
      <x:c r="V20" s="56" t="str">
        <x:f>IF(AND(V$5&gt;='任务与甘特'!$T21,V$5&lt;='任务与甘特'!$U21),"■","")</x:f>
      </x:c>
      <x:c r="W20" s="56" t="str">
        <x:f>IF(AND(W$5&gt;='任务与甘特'!$T21,W$5&lt;='任务与甘特'!$U21),"■","")</x:f>
      </x:c>
      <x:c r="X20" s="56" t="str">
        <x:f>IF(AND(X$5&gt;='任务与甘特'!$T21,X$5&lt;='任务与甘特'!$U21),"■","")</x:f>
      </x:c>
      <x:c r="Y20" s="56" t="str">
        <x:f>IF(AND(Y$5&gt;='任务与甘特'!$T21,Y$5&lt;='任务与甘特'!$U21),"■","")</x:f>
      </x:c>
      <x:c r="Z20" s="56" t="str">
        <x:f>IF(AND(Z$5&gt;='任务与甘特'!$T21,Z$5&lt;='任务与甘特'!$U21),"■","")</x:f>
      </x:c>
      <x:c r="AA20" s="56" t="str">
        <x:f>IF(AND(AA$5&gt;='任务与甘特'!$T21,AA$5&lt;='任务与甘特'!$U21),"■","")</x:f>
      </x:c>
      <x:c r="AB20" s="56" t="str">
        <x:f>IF(AND(AB$5&gt;='任务与甘特'!$T21,AB$5&lt;='任务与甘特'!$U21),"■","")</x:f>
      </x:c>
      <x:c r="AC20" s="56" t="str">
        <x:f>IF(AND(AC$5&gt;='任务与甘特'!$T21,AC$5&lt;='任务与甘特'!$U21),"■","")</x:f>
      </x:c>
      <x:c r="AD20" s="56" t="str">
        <x:f>IF(AND(AD$5&gt;='任务与甘特'!$T21,AD$5&lt;='任务与甘特'!$U21),"■","")</x:f>
      </x:c>
      <x:c r="AE20" s="56" t="str">
        <x:f>IF(AND(AE$5&gt;='任务与甘特'!$T21,AE$5&lt;='任务与甘特'!$U21),"■","")</x:f>
      </x:c>
      <x:c r="AF20" s="56" t="str">
        <x:f>IF(AND(AF$5&gt;='任务与甘特'!$T21,AF$5&lt;='任务与甘特'!$U21),"■","")</x:f>
      </x:c>
      <x:c r="AG20" s="56" t="str">
        <x:f>IF(AND(AG$5&gt;='任务与甘特'!$T21,AG$5&lt;='任务与甘特'!$U21),"■","")</x:f>
      </x:c>
      <x:c r="AH20" s="56" t="str">
        <x:f>IF(AND(AH$5&gt;='任务与甘特'!$T21,AH$5&lt;='任务与甘特'!$U21),"■","")</x:f>
      </x:c>
      <x:c r="AI20" s="56" t="str">
        <x:f>IF(AND(AI$5&gt;='任务与甘特'!$T21,AI$5&lt;='任务与甘特'!$U21),"■","")</x:f>
      </x:c>
      <x:c r="AJ20" s="56" t="str">
        <x:f>IF(AND(AJ$5&gt;='任务与甘特'!$T21,AJ$5&lt;='任务与甘特'!$U21),"■","")</x:f>
      </x:c>
      <x:c r="AK20" s="56" t="str">
        <x:f>IF(AND(AK$5&gt;='任务与甘特'!$T21,AK$5&lt;='任务与甘特'!$U21),"■","")</x:f>
      </x:c>
      <x:c r="AL20" s="56" t="str">
        <x:f>IF(AND(AL$5&gt;='任务与甘特'!$T21,AL$5&lt;='任务与甘特'!$U21),"■","")</x:f>
      </x:c>
      <x:c r="AM20" s="56" t="str">
        <x:f>IF(AND(AM$5&gt;='任务与甘特'!$T21,AM$5&lt;='任务与甘特'!$U21),"■","")</x:f>
      </x:c>
      <x:c r="AN20" s="56" t="str">
        <x:f>IF(AND(AN$5&gt;='任务与甘特'!$T21,AN$5&lt;='任务与甘特'!$U21),"■","")</x:f>
      </x:c>
      <x:c r="AO20" s="56" t="str">
        <x:f>IF(AND(AO$5&gt;='任务与甘特'!$T21,AO$5&lt;='任务与甘特'!$U21),"■","")</x:f>
      </x:c>
      <x:c r="AP20" s="56" t="str">
        <x:f>IF(AND(AP$5&gt;='任务与甘特'!$T21,AP$5&lt;='任务与甘特'!$U21),"■","")</x:f>
      </x:c>
    </x:row>
    <x:row r="21" ht="38" customHeight="1">
      <x:c r="A21" s="29" t="str">
        <x:f>'任务与甘特'!A22</x:f>
        <x:v>T3.8</x:v>
      </x:c>
      <x:c r="B21" s="29" t="str">
        <x:f>'任务与甘特'!B22</x:f>
        <x:v>实现独立修订与撤销链</x:v>
      </x:c>
      <x:c r="C21" s="56" t="str">
        <x:f>IF(AND(C$5&gt;='任务与甘特'!$T22,C$5&lt;='任务与甘特'!$U22),"■","")</x:f>
      </x:c>
      <x:c r="D21" s="56" t="str">
        <x:f>IF(AND(D$5&gt;='任务与甘特'!$T22,D$5&lt;='任务与甘特'!$U22),"■","")</x:f>
      </x:c>
      <x:c r="E21" s="56" t="str">
        <x:f>IF(AND(E$5&gt;='任务与甘特'!$T22,E$5&lt;='任务与甘特'!$U22),"■","")</x:f>
      </x:c>
      <x:c r="F21" s="56" t="str">
        <x:f>IF(AND(F$5&gt;='任务与甘特'!$T22,F$5&lt;='任务与甘特'!$U22),"■","")</x:f>
      </x:c>
      <x:c r="G21" s="56" t="str">
        <x:f>IF(AND(G$5&gt;='任务与甘特'!$T22,G$5&lt;='任务与甘特'!$U22),"■","")</x:f>
      </x:c>
      <x:c r="H21" s="56" t="str">
        <x:f>IF(AND(H$5&gt;='任务与甘特'!$T22,H$5&lt;='任务与甘特'!$U22),"■","")</x:f>
      </x:c>
      <x:c r="I21" s="56" t="str">
        <x:f>IF(AND(I$5&gt;='任务与甘特'!$T22,I$5&lt;='任务与甘特'!$U22),"■","")</x:f>
      </x:c>
      <x:c r="J21" s="56" t="str">
        <x:f>IF(AND(J$5&gt;='任务与甘特'!$T22,J$5&lt;='任务与甘特'!$U22),"■","")</x:f>
      </x:c>
      <x:c r="K21" s="56" t="str">
        <x:f>IF(AND(K$5&gt;='任务与甘特'!$T22,K$5&lt;='任务与甘特'!$U22),"■","")</x:f>
      </x:c>
      <x:c r="L21" s="56" t="str">
        <x:f>IF(AND(L$5&gt;='任务与甘特'!$T22,L$5&lt;='任务与甘特'!$U22),"■","")</x:f>
      </x:c>
      <x:c r="M21" s="56" t="str">
        <x:f>IF(AND(M$5&gt;='任务与甘特'!$T22,M$5&lt;='任务与甘特'!$U22),"■","")</x:f>
      </x:c>
      <x:c r="N21" s="56" t="str">
        <x:f>IF(AND(N$5&gt;='任务与甘特'!$T22,N$5&lt;='任务与甘特'!$U22),"■","")</x:f>
      </x:c>
      <x:c r="O21" s="56" t="str">
        <x:f>IF(AND(O$5&gt;='任务与甘特'!$T22,O$5&lt;='任务与甘特'!$U22),"■","")</x:f>
      </x:c>
      <x:c r="P21" s="56" t="str">
        <x:f>IF(AND(P$5&gt;='任务与甘特'!$T22,P$5&lt;='任务与甘特'!$U22),"■","")</x:f>
      </x:c>
      <x:c r="Q21" s="56" t="str">
        <x:f>IF(AND(Q$5&gt;='任务与甘特'!$T22,Q$5&lt;='任务与甘特'!$U22),"■","")</x:f>
        <x:v>■</x:v>
      </x:c>
      <x:c r="R21" s="56" t="str">
        <x:f>IF(AND(R$5&gt;='任务与甘特'!$T22,R$5&lt;='任务与甘特'!$U22),"■","")</x:f>
        <x:v>■</x:v>
      </x:c>
      <x:c r="S21" s="56" t="str">
        <x:f>IF(AND(S$5&gt;='任务与甘特'!$T22,S$5&lt;='任务与甘特'!$U22),"■","")</x:f>
        <x:v>■</x:v>
      </x:c>
      <x:c r="T21" s="56" t="str">
        <x:f>IF(AND(T$5&gt;='任务与甘特'!$T22,T$5&lt;='任务与甘特'!$U22),"■","")</x:f>
      </x:c>
      <x:c r="U21" s="56" t="str">
        <x:f>IF(AND(U$5&gt;='任务与甘特'!$T22,U$5&lt;='任务与甘特'!$U22),"■","")</x:f>
      </x:c>
      <x:c r="V21" s="56" t="str">
        <x:f>IF(AND(V$5&gt;='任务与甘特'!$T22,V$5&lt;='任务与甘特'!$U22),"■","")</x:f>
      </x:c>
      <x:c r="W21" s="56" t="str">
        <x:f>IF(AND(W$5&gt;='任务与甘特'!$T22,W$5&lt;='任务与甘特'!$U22),"■","")</x:f>
      </x:c>
      <x:c r="X21" s="56" t="str">
        <x:f>IF(AND(X$5&gt;='任务与甘特'!$T22,X$5&lt;='任务与甘特'!$U22),"■","")</x:f>
      </x:c>
      <x:c r="Y21" s="56" t="str">
        <x:f>IF(AND(Y$5&gt;='任务与甘特'!$T22,Y$5&lt;='任务与甘特'!$U22),"■","")</x:f>
      </x:c>
      <x:c r="Z21" s="56" t="str">
        <x:f>IF(AND(Z$5&gt;='任务与甘特'!$T22,Z$5&lt;='任务与甘特'!$U22),"■","")</x:f>
      </x:c>
      <x:c r="AA21" s="56" t="str">
        <x:f>IF(AND(AA$5&gt;='任务与甘特'!$T22,AA$5&lt;='任务与甘特'!$U22),"■","")</x:f>
      </x:c>
      <x:c r="AB21" s="56" t="str">
        <x:f>IF(AND(AB$5&gt;='任务与甘特'!$T22,AB$5&lt;='任务与甘特'!$U22),"■","")</x:f>
      </x:c>
      <x:c r="AC21" s="56" t="str">
        <x:f>IF(AND(AC$5&gt;='任务与甘特'!$T22,AC$5&lt;='任务与甘特'!$U22),"■","")</x:f>
      </x:c>
      <x:c r="AD21" s="56" t="str">
        <x:f>IF(AND(AD$5&gt;='任务与甘特'!$T22,AD$5&lt;='任务与甘特'!$U22),"■","")</x:f>
      </x:c>
      <x:c r="AE21" s="56" t="str">
        <x:f>IF(AND(AE$5&gt;='任务与甘特'!$T22,AE$5&lt;='任务与甘特'!$U22),"■","")</x:f>
      </x:c>
      <x:c r="AF21" s="56" t="str">
        <x:f>IF(AND(AF$5&gt;='任务与甘特'!$T22,AF$5&lt;='任务与甘特'!$U22),"■","")</x:f>
      </x:c>
      <x:c r="AG21" s="56" t="str">
        <x:f>IF(AND(AG$5&gt;='任务与甘特'!$T22,AG$5&lt;='任务与甘特'!$U22),"■","")</x:f>
      </x:c>
      <x:c r="AH21" s="56" t="str">
        <x:f>IF(AND(AH$5&gt;='任务与甘特'!$T22,AH$5&lt;='任务与甘特'!$U22),"■","")</x:f>
      </x:c>
      <x:c r="AI21" s="56" t="str">
        <x:f>IF(AND(AI$5&gt;='任务与甘特'!$T22,AI$5&lt;='任务与甘特'!$U22),"■","")</x:f>
      </x:c>
      <x:c r="AJ21" s="56" t="str">
        <x:f>IF(AND(AJ$5&gt;='任务与甘特'!$T22,AJ$5&lt;='任务与甘特'!$U22),"■","")</x:f>
      </x:c>
      <x:c r="AK21" s="56" t="str">
        <x:f>IF(AND(AK$5&gt;='任务与甘特'!$T22,AK$5&lt;='任务与甘特'!$U22),"■","")</x:f>
      </x:c>
      <x:c r="AL21" s="56" t="str">
        <x:f>IF(AND(AL$5&gt;='任务与甘特'!$T22,AL$5&lt;='任务与甘特'!$U22),"■","")</x:f>
      </x:c>
      <x:c r="AM21" s="56" t="str">
        <x:f>IF(AND(AM$5&gt;='任务与甘特'!$T22,AM$5&lt;='任务与甘特'!$U22),"■","")</x:f>
      </x:c>
      <x:c r="AN21" s="56" t="str">
        <x:f>IF(AND(AN$5&gt;='任务与甘特'!$T22,AN$5&lt;='任务与甘特'!$U22),"■","")</x:f>
      </x:c>
      <x:c r="AO21" s="56" t="str">
        <x:f>IF(AND(AO$5&gt;='任务与甘特'!$T22,AO$5&lt;='任务与甘特'!$U22),"■","")</x:f>
      </x:c>
      <x:c r="AP21" s="56" t="str">
        <x:f>IF(AND(AP$5&gt;='任务与甘特'!$T22,AP$5&lt;='任务与甘特'!$U22),"■","")</x:f>
      </x:c>
    </x:row>
    <x:row r="22" ht="38" customHeight="1">
      <x:c r="A22" s="29" t="str">
        <x:f>'任务与甘特'!A23</x:f>
        <x:v>T3.9</x:v>
      </x:c>
      <x:c r="B22" s="29" t="str">
        <x:f>'任务与甘特'!B23</x:f>
        <x:v>实现历史浏览和快照查询</x:v>
      </x:c>
      <x:c r="C22" s="56" t="str">
        <x:f>IF(AND(C$5&gt;='任务与甘特'!$T23,C$5&lt;='任务与甘特'!$U23),"■","")</x:f>
      </x:c>
      <x:c r="D22" s="56" t="str">
        <x:f>IF(AND(D$5&gt;='任务与甘特'!$T23,D$5&lt;='任务与甘特'!$U23),"■","")</x:f>
      </x:c>
      <x:c r="E22" s="56" t="str">
        <x:f>IF(AND(E$5&gt;='任务与甘特'!$T23,E$5&lt;='任务与甘特'!$U23),"■","")</x:f>
      </x:c>
      <x:c r="F22" s="56" t="str">
        <x:f>IF(AND(F$5&gt;='任务与甘特'!$T23,F$5&lt;='任务与甘特'!$U23),"■","")</x:f>
      </x:c>
      <x:c r="G22" s="56" t="str">
        <x:f>IF(AND(G$5&gt;='任务与甘特'!$T23,G$5&lt;='任务与甘特'!$U23),"■","")</x:f>
      </x:c>
      <x:c r="H22" s="56" t="str">
        <x:f>IF(AND(H$5&gt;='任务与甘特'!$T23,H$5&lt;='任务与甘特'!$U23),"■","")</x:f>
      </x:c>
      <x:c r="I22" s="56" t="str">
        <x:f>IF(AND(I$5&gt;='任务与甘特'!$T23,I$5&lt;='任务与甘特'!$U23),"■","")</x:f>
      </x:c>
      <x:c r="J22" s="56" t="str">
        <x:f>IF(AND(J$5&gt;='任务与甘特'!$T23,J$5&lt;='任务与甘特'!$U23),"■","")</x:f>
      </x:c>
      <x:c r="K22" s="56" t="str">
        <x:f>IF(AND(K$5&gt;='任务与甘特'!$T23,K$5&lt;='任务与甘特'!$U23),"■","")</x:f>
      </x:c>
      <x:c r="L22" s="56" t="str">
        <x:f>IF(AND(L$5&gt;='任务与甘特'!$T23,L$5&lt;='任务与甘特'!$U23),"■","")</x:f>
      </x:c>
      <x:c r="M22" s="56" t="str">
        <x:f>IF(AND(M$5&gt;='任务与甘特'!$T23,M$5&lt;='任务与甘特'!$U23),"■","")</x:f>
      </x:c>
      <x:c r="N22" s="56" t="str">
        <x:f>IF(AND(N$5&gt;='任务与甘特'!$T23,N$5&lt;='任务与甘特'!$U23),"■","")</x:f>
      </x:c>
      <x:c r="O22" s="56" t="str">
        <x:f>IF(AND(O$5&gt;='任务与甘特'!$T23,O$5&lt;='任务与甘特'!$U23),"■","")</x:f>
      </x:c>
      <x:c r="P22" s="56" t="str">
        <x:f>IF(AND(P$5&gt;='任务与甘特'!$T23,P$5&lt;='任务与甘特'!$U23),"■","")</x:f>
      </x:c>
      <x:c r="Q22" s="56" t="str">
        <x:f>IF(AND(Q$5&gt;='任务与甘特'!$T23,Q$5&lt;='任务与甘特'!$U23),"■","")</x:f>
        <x:v>■</x:v>
      </x:c>
      <x:c r="R22" s="56" t="str">
        <x:f>IF(AND(R$5&gt;='任务与甘特'!$T23,R$5&lt;='任务与甘特'!$U23),"■","")</x:f>
        <x:v>■</x:v>
      </x:c>
      <x:c r="S22" s="56" t="str">
        <x:f>IF(AND(S$5&gt;='任务与甘特'!$T23,S$5&lt;='任务与甘特'!$U23),"■","")</x:f>
      </x:c>
      <x:c r="T22" s="56" t="str">
        <x:f>IF(AND(T$5&gt;='任务与甘特'!$T23,T$5&lt;='任务与甘特'!$U23),"■","")</x:f>
      </x:c>
      <x:c r="U22" s="56" t="str">
        <x:f>IF(AND(U$5&gt;='任务与甘特'!$T23,U$5&lt;='任务与甘特'!$U23),"■","")</x:f>
      </x:c>
      <x:c r="V22" s="56" t="str">
        <x:f>IF(AND(V$5&gt;='任务与甘特'!$T23,V$5&lt;='任务与甘特'!$U23),"■","")</x:f>
      </x:c>
      <x:c r="W22" s="56" t="str">
        <x:f>IF(AND(W$5&gt;='任务与甘特'!$T23,W$5&lt;='任务与甘特'!$U23),"■","")</x:f>
      </x:c>
      <x:c r="X22" s="56" t="str">
        <x:f>IF(AND(X$5&gt;='任务与甘特'!$T23,X$5&lt;='任务与甘特'!$U23),"■","")</x:f>
      </x:c>
      <x:c r="Y22" s="56" t="str">
        <x:f>IF(AND(Y$5&gt;='任务与甘特'!$T23,Y$5&lt;='任务与甘特'!$U23),"■","")</x:f>
      </x:c>
      <x:c r="Z22" s="56" t="str">
        <x:f>IF(AND(Z$5&gt;='任务与甘特'!$T23,Z$5&lt;='任务与甘特'!$U23),"■","")</x:f>
      </x:c>
      <x:c r="AA22" s="56" t="str">
        <x:f>IF(AND(AA$5&gt;='任务与甘特'!$T23,AA$5&lt;='任务与甘特'!$U23),"■","")</x:f>
      </x:c>
      <x:c r="AB22" s="56" t="str">
        <x:f>IF(AND(AB$5&gt;='任务与甘特'!$T23,AB$5&lt;='任务与甘特'!$U23),"■","")</x:f>
      </x:c>
      <x:c r="AC22" s="56" t="str">
        <x:f>IF(AND(AC$5&gt;='任务与甘特'!$T23,AC$5&lt;='任务与甘特'!$U23),"■","")</x:f>
      </x:c>
      <x:c r="AD22" s="56" t="str">
        <x:f>IF(AND(AD$5&gt;='任务与甘特'!$T23,AD$5&lt;='任务与甘特'!$U23),"■","")</x:f>
      </x:c>
      <x:c r="AE22" s="56" t="str">
        <x:f>IF(AND(AE$5&gt;='任务与甘特'!$T23,AE$5&lt;='任务与甘特'!$U23),"■","")</x:f>
      </x:c>
      <x:c r="AF22" s="56" t="str">
        <x:f>IF(AND(AF$5&gt;='任务与甘特'!$T23,AF$5&lt;='任务与甘特'!$U23),"■","")</x:f>
      </x:c>
      <x:c r="AG22" s="56" t="str">
        <x:f>IF(AND(AG$5&gt;='任务与甘特'!$T23,AG$5&lt;='任务与甘特'!$U23),"■","")</x:f>
      </x:c>
      <x:c r="AH22" s="56" t="str">
        <x:f>IF(AND(AH$5&gt;='任务与甘特'!$T23,AH$5&lt;='任务与甘特'!$U23),"■","")</x:f>
      </x:c>
      <x:c r="AI22" s="56" t="str">
        <x:f>IF(AND(AI$5&gt;='任务与甘特'!$T23,AI$5&lt;='任务与甘特'!$U23),"■","")</x:f>
      </x:c>
      <x:c r="AJ22" s="56" t="str">
        <x:f>IF(AND(AJ$5&gt;='任务与甘特'!$T23,AJ$5&lt;='任务与甘特'!$U23),"■","")</x:f>
      </x:c>
      <x:c r="AK22" s="56" t="str">
        <x:f>IF(AND(AK$5&gt;='任务与甘特'!$T23,AK$5&lt;='任务与甘特'!$U23),"■","")</x:f>
      </x:c>
      <x:c r="AL22" s="56" t="str">
        <x:f>IF(AND(AL$5&gt;='任务与甘特'!$T23,AL$5&lt;='任务与甘特'!$U23),"■","")</x:f>
      </x:c>
      <x:c r="AM22" s="56" t="str">
        <x:f>IF(AND(AM$5&gt;='任务与甘特'!$T23,AM$5&lt;='任务与甘特'!$U23),"■","")</x:f>
      </x:c>
      <x:c r="AN22" s="56" t="str">
        <x:f>IF(AND(AN$5&gt;='任务与甘特'!$T23,AN$5&lt;='任务与甘特'!$U23),"■","")</x:f>
      </x:c>
      <x:c r="AO22" s="56" t="str">
        <x:f>IF(AND(AO$5&gt;='任务与甘特'!$T23,AO$5&lt;='任务与甘特'!$U23),"■","")</x:f>
      </x:c>
      <x:c r="AP22" s="56" t="str">
        <x:f>IF(AND(AP$5&gt;='任务与甘特'!$T23,AP$5&lt;='任务与甘特'!$U23),"■","")</x:f>
      </x:c>
    </x:row>
    <x:row r="23" ht="38" customHeight="1">
      <x:c r="A23" s="29" t="str">
        <x:f>'任务与甘特'!A24</x:f>
        <x:v>T3.10</x:v>
      </x:c>
      <x:c r="B23" s="29" t="str">
        <x:f>'任务与甘特'!B24</x:f>
        <x:v>实现汇总指标与统计口径</x:v>
      </x:c>
      <x:c r="C23" s="56" t="str">
        <x:f>IF(AND(C$5&gt;='任务与甘特'!$T24,C$5&lt;='任务与甘特'!$U24),"■","")</x:f>
      </x:c>
      <x:c r="D23" s="56" t="str">
        <x:f>IF(AND(D$5&gt;='任务与甘特'!$T24,D$5&lt;='任务与甘特'!$U24),"■","")</x:f>
      </x:c>
      <x:c r="E23" s="56" t="str">
        <x:f>IF(AND(E$5&gt;='任务与甘特'!$T24,E$5&lt;='任务与甘特'!$U24),"■","")</x:f>
      </x:c>
      <x:c r="F23" s="56" t="str">
        <x:f>IF(AND(F$5&gt;='任务与甘特'!$T24,F$5&lt;='任务与甘特'!$U24),"■","")</x:f>
      </x:c>
      <x:c r="G23" s="56" t="str">
        <x:f>IF(AND(G$5&gt;='任务与甘特'!$T24,G$5&lt;='任务与甘特'!$U24),"■","")</x:f>
      </x:c>
      <x:c r="H23" s="56" t="str">
        <x:f>IF(AND(H$5&gt;='任务与甘特'!$T24,H$5&lt;='任务与甘特'!$U24),"■","")</x:f>
      </x:c>
      <x:c r="I23" s="56" t="str">
        <x:f>IF(AND(I$5&gt;='任务与甘特'!$T24,I$5&lt;='任务与甘特'!$U24),"■","")</x:f>
      </x:c>
      <x:c r="J23" s="56" t="str">
        <x:f>IF(AND(J$5&gt;='任务与甘特'!$T24,J$5&lt;='任务与甘特'!$U24),"■","")</x:f>
      </x:c>
      <x:c r="K23" s="56" t="str">
        <x:f>IF(AND(K$5&gt;='任务与甘特'!$T24,K$5&lt;='任务与甘特'!$U24),"■","")</x:f>
      </x:c>
      <x:c r="L23" s="56" t="str">
        <x:f>IF(AND(L$5&gt;='任务与甘特'!$T24,L$5&lt;='任务与甘特'!$U24),"■","")</x:f>
      </x:c>
      <x:c r="M23" s="56" t="str">
        <x:f>IF(AND(M$5&gt;='任务与甘特'!$T24,M$5&lt;='任务与甘特'!$U24),"■","")</x:f>
      </x:c>
      <x:c r="N23" s="56" t="str">
        <x:f>IF(AND(N$5&gt;='任务与甘特'!$T24,N$5&lt;='任务与甘特'!$U24),"■","")</x:f>
      </x:c>
      <x:c r="O23" s="56" t="str">
        <x:f>IF(AND(O$5&gt;='任务与甘特'!$T24,O$5&lt;='任务与甘特'!$U24),"■","")</x:f>
      </x:c>
      <x:c r="P23" s="56" t="str">
        <x:f>IF(AND(P$5&gt;='任务与甘特'!$T24,P$5&lt;='任务与甘特'!$U24),"■","")</x:f>
      </x:c>
      <x:c r="Q23" s="56" t="str">
        <x:f>IF(AND(Q$5&gt;='任务与甘特'!$T24,Q$5&lt;='任务与甘特'!$U24),"■","")</x:f>
      </x:c>
      <x:c r="R23" s="56" t="str">
        <x:f>IF(AND(R$5&gt;='任务与甘特'!$T24,R$5&lt;='任务与甘特'!$U24),"■","")</x:f>
      </x:c>
      <x:c r="S23" s="56" t="str">
        <x:f>IF(AND(S$5&gt;='任务与甘特'!$T24,S$5&lt;='任务与甘特'!$U24),"■","")</x:f>
        <x:v>■</x:v>
      </x:c>
      <x:c r="T23" s="56" t="str">
        <x:f>IF(AND(T$5&gt;='任务与甘特'!$T24,T$5&lt;='任务与甘特'!$U24),"■","")</x:f>
        <x:v>■</x:v>
      </x:c>
      <x:c r="U23" s="56" t="str">
        <x:f>IF(AND(U$5&gt;='任务与甘特'!$T24,U$5&lt;='任务与甘特'!$U24),"■","")</x:f>
      </x:c>
      <x:c r="V23" s="56" t="str">
        <x:f>IF(AND(V$5&gt;='任务与甘特'!$T24,V$5&lt;='任务与甘特'!$U24),"■","")</x:f>
      </x:c>
      <x:c r="W23" s="56" t="str">
        <x:f>IF(AND(W$5&gt;='任务与甘特'!$T24,W$5&lt;='任务与甘特'!$U24),"■","")</x:f>
      </x:c>
      <x:c r="X23" s="56" t="str">
        <x:f>IF(AND(X$5&gt;='任务与甘特'!$T24,X$5&lt;='任务与甘特'!$U24),"■","")</x:f>
      </x:c>
      <x:c r="Y23" s="56" t="str">
        <x:f>IF(AND(Y$5&gt;='任务与甘特'!$T24,Y$5&lt;='任务与甘特'!$U24),"■","")</x:f>
      </x:c>
      <x:c r="Z23" s="56" t="str">
        <x:f>IF(AND(Z$5&gt;='任务与甘特'!$T24,Z$5&lt;='任务与甘特'!$U24),"■","")</x:f>
      </x:c>
      <x:c r="AA23" s="56" t="str">
        <x:f>IF(AND(AA$5&gt;='任务与甘特'!$T24,AA$5&lt;='任务与甘特'!$U24),"■","")</x:f>
      </x:c>
      <x:c r="AB23" s="56" t="str">
        <x:f>IF(AND(AB$5&gt;='任务与甘特'!$T24,AB$5&lt;='任务与甘特'!$U24),"■","")</x:f>
      </x:c>
      <x:c r="AC23" s="56" t="str">
        <x:f>IF(AND(AC$5&gt;='任务与甘特'!$T24,AC$5&lt;='任务与甘特'!$U24),"■","")</x:f>
      </x:c>
      <x:c r="AD23" s="56" t="str">
        <x:f>IF(AND(AD$5&gt;='任务与甘特'!$T24,AD$5&lt;='任务与甘特'!$U24),"■","")</x:f>
      </x:c>
      <x:c r="AE23" s="56" t="str">
        <x:f>IF(AND(AE$5&gt;='任务与甘特'!$T24,AE$5&lt;='任务与甘特'!$U24),"■","")</x:f>
      </x:c>
      <x:c r="AF23" s="56" t="str">
        <x:f>IF(AND(AF$5&gt;='任务与甘特'!$T24,AF$5&lt;='任务与甘特'!$U24),"■","")</x:f>
      </x:c>
      <x:c r="AG23" s="56" t="str">
        <x:f>IF(AND(AG$5&gt;='任务与甘特'!$T24,AG$5&lt;='任务与甘特'!$U24),"■","")</x:f>
      </x:c>
      <x:c r="AH23" s="56" t="str">
        <x:f>IF(AND(AH$5&gt;='任务与甘特'!$T24,AH$5&lt;='任务与甘特'!$U24),"■","")</x:f>
      </x:c>
      <x:c r="AI23" s="56" t="str">
        <x:f>IF(AND(AI$5&gt;='任务与甘特'!$T24,AI$5&lt;='任务与甘特'!$U24),"■","")</x:f>
      </x:c>
      <x:c r="AJ23" s="56" t="str">
        <x:f>IF(AND(AJ$5&gt;='任务与甘特'!$T24,AJ$5&lt;='任务与甘特'!$U24),"■","")</x:f>
      </x:c>
      <x:c r="AK23" s="56" t="str">
        <x:f>IF(AND(AK$5&gt;='任务与甘特'!$T24,AK$5&lt;='任务与甘特'!$U24),"■","")</x:f>
      </x:c>
      <x:c r="AL23" s="56" t="str">
        <x:f>IF(AND(AL$5&gt;='任务与甘特'!$T24,AL$5&lt;='任务与甘特'!$U24),"■","")</x:f>
      </x:c>
      <x:c r="AM23" s="56" t="str">
        <x:f>IF(AND(AM$5&gt;='任务与甘特'!$T24,AM$5&lt;='任务与甘特'!$U24),"■","")</x:f>
      </x:c>
      <x:c r="AN23" s="56" t="str">
        <x:f>IF(AND(AN$5&gt;='任务与甘特'!$T24,AN$5&lt;='任务与甘特'!$U24),"■","")</x:f>
      </x:c>
      <x:c r="AO23" s="56" t="str">
        <x:f>IF(AND(AO$5&gt;='任务与甘特'!$T24,AO$5&lt;='任务与甘特'!$U24),"■","")</x:f>
      </x:c>
      <x:c r="AP23" s="56" t="str">
        <x:f>IF(AND(AP$5&gt;='任务与甘特'!$T24,AP$5&lt;='任务与甘特'!$U24),"■","")</x:f>
      </x:c>
    </x:row>
    <x:row r="24" ht="38" customHeight="1">
      <x:c r="A24" s="29" t="str">
        <x:f>'任务与甘特'!A25</x:f>
        <x:v>T3.11</x:v>
      </x:c>
      <x:c r="B24" s="29" t="str">
        <x:f>'任务与甘特'!B25</x:f>
        <x:v>实现条件查询与XLSX导出</x:v>
      </x:c>
      <x:c r="C24" s="56" t="str">
        <x:f>IF(AND(C$5&gt;='任务与甘特'!$T25,C$5&lt;='任务与甘特'!$U25),"■","")</x:f>
      </x:c>
      <x:c r="D24" s="56" t="str">
        <x:f>IF(AND(D$5&gt;='任务与甘特'!$T25,D$5&lt;='任务与甘特'!$U25),"■","")</x:f>
      </x:c>
      <x:c r="E24" s="56" t="str">
        <x:f>IF(AND(E$5&gt;='任务与甘特'!$T25,E$5&lt;='任务与甘特'!$U25),"■","")</x:f>
      </x:c>
      <x:c r="F24" s="56" t="str">
        <x:f>IF(AND(F$5&gt;='任务与甘特'!$T25,F$5&lt;='任务与甘特'!$U25),"■","")</x:f>
      </x:c>
      <x:c r="G24" s="56" t="str">
        <x:f>IF(AND(G$5&gt;='任务与甘特'!$T25,G$5&lt;='任务与甘特'!$U25),"■","")</x:f>
      </x:c>
      <x:c r="H24" s="56" t="str">
        <x:f>IF(AND(H$5&gt;='任务与甘特'!$T25,H$5&lt;='任务与甘特'!$U25),"■","")</x:f>
      </x:c>
      <x:c r="I24" s="56" t="str">
        <x:f>IF(AND(I$5&gt;='任务与甘特'!$T25,I$5&lt;='任务与甘特'!$U25),"■","")</x:f>
      </x:c>
      <x:c r="J24" s="56" t="str">
        <x:f>IF(AND(J$5&gt;='任务与甘特'!$T25,J$5&lt;='任务与甘特'!$U25),"■","")</x:f>
      </x:c>
      <x:c r="K24" s="56" t="str">
        <x:f>IF(AND(K$5&gt;='任务与甘特'!$T25,K$5&lt;='任务与甘特'!$U25),"■","")</x:f>
      </x:c>
      <x:c r="L24" s="56" t="str">
        <x:f>IF(AND(L$5&gt;='任务与甘特'!$T25,L$5&lt;='任务与甘特'!$U25),"■","")</x:f>
      </x:c>
      <x:c r="M24" s="56" t="str">
        <x:f>IF(AND(M$5&gt;='任务与甘特'!$T25,M$5&lt;='任务与甘特'!$U25),"■","")</x:f>
      </x:c>
      <x:c r="N24" s="56" t="str">
        <x:f>IF(AND(N$5&gt;='任务与甘特'!$T25,N$5&lt;='任务与甘特'!$U25),"■","")</x:f>
      </x:c>
      <x:c r="O24" s="56" t="str">
        <x:f>IF(AND(O$5&gt;='任务与甘特'!$T25,O$5&lt;='任务与甘特'!$U25),"■","")</x:f>
      </x:c>
      <x:c r="P24" s="56" t="str">
        <x:f>IF(AND(P$5&gt;='任务与甘特'!$T25,P$5&lt;='任务与甘特'!$U25),"■","")</x:f>
      </x:c>
      <x:c r="Q24" s="56" t="str">
        <x:f>IF(AND(Q$5&gt;='任务与甘特'!$T25,Q$5&lt;='任务与甘特'!$U25),"■","")</x:f>
      </x:c>
      <x:c r="R24" s="56" t="str">
        <x:f>IF(AND(R$5&gt;='任务与甘特'!$T25,R$5&lt;='任务与甘特'!$U25),"■","")</x:f>
        <x:v>■</x:v>
      </x:c>
      <x:c r="S24" s="56" t="str">
        <x:f>IF(AND(S$5&gt;='任务与甘特'!$T25,S$5&lt;='任务与甘特'!$U25),"■","")</x:f>
        <x:v>■</x:v>
      </x:c>
      <x:c r="T24" s="56" t="str">
        <x:f>IF(AND(T$5&gt;='任务与甘特'!$T25,T$5&lt;='任务与甘特'!$U25),"■","")</x:f>
        <x:v>■</x:v>
      </x:c>
      <x:c r="U24" s="56" t="str">
        <x:f>IF(AND(U$5&gt;='任务与甘特'!$T25,U$5&lt;='任务与甘特'!$U25),"■","")</x:f>
      </x:c>
      <x:c r="V24" s="56" t="str">
        <x:f>IF(AND(V$5&gt;='任务与甘特'!$T25,V$5&lt;='任务与甘特'!$U25),"■","")</x:f>
      </x:c>
      <x:c r="W24" s="56" t="str">
        <x:f>IF(AND(W$5&gt;='任务与甘特'!$T25,W$5&lt;='任务与甘特'!$U25),"■","")</x:f>
      </x:c>
      <x:c r="X24" s="56" t="str">
        <x:f>IF(AND(X$5&gt;='任务与甘特'!$T25,X$5&lt;='任务与甘特'!$U25),"■","")</x:f>
      </x:c>
      <x:c r="Y24" s="56" t="str">
        <x:f>IF(AND(Y$5&gt;='任务与甘特'!$T25,Y$5&lt;='任务与甘特'!$U25),"■","")</x:f>
      </x:c>
      <x:c r="Z24" s="56" t="str">
        <x:f>IF(AND(Z$5&gt;='任务与甘特'!$T25,Z$5&lt;='任务与甘特'!$U25),"■","")</x:f>
      </x:c>
      <x:c r="AA24" s="56" t="str">
        <x:f>IF(AND(AA$5&gt;='任务与甘特'!$T25,AA$5&lt;='任务与甘特'!$U25),"■","")</x:f>
      </x:c>
      <x:c r="AB24" s="56" t="str">
        <x:f>IF(AND(AB$5&gt;='任务与甘特'!$T25,AB$5&lt;='任务与甘特'!$U25),"■","")</x:f>
      </x:c>
      <x:c r="AC24" s="56" t="str">
        <x:f>IF(AND(AC$5&gt;='任务与甘特'!$T25,AC$5&lt;='任务与甘特'!$U25),"■","")</x:f>
      </x:c>
      <x:c r="AD24" s="56" t="str">
        <x:f>IF(AND(AD$5&gt;='任务与甘特'!$T25,AD$5&lt;='任务与甘特'!$U25),"■","")</x:f>
      </x:c>
      <x:c r="AE24" s="56" t="str">
        <x:f>IF(AND(AE$5&gt;='任务与甘特'!$T25,AE$5&lt;='任务与甘特'!$U25),"■","")</x:f>
      </x:c>
      <x:c r="AF24" s="56" t="str">
        <x:f>IF(AND(AF$5&gt;='任务与甘特'!$T25,AF$5&lt;='任务与甘特'!$U25),"■","")</x:f>
      </x:c>
      <x:c r="AG24" s="56" t="str">
        <x:f>IF(AND(AG$5&gt;='任务与甘特'!$T25,AG$5&lt;='任务与甘特'!$U25),"■","")</x:f>
      </x:c>
      <x:c r="AH24" s="56" t="str">
        <x:f>IF(AND(AH$5&gt;='任务与甘特'!$T25,AH$5&lt;='任务与甘特'!$U25),"■","")</x:f>
      </x:c>
      <x:c r="AI24" s="56" t="str">
        <x:f>IF(AND(AI$5&gt;='任务与甘特'!$T25,AI$5&lt;='任务与甘特'!$U25),"■","")</x:f>
      </x:c>
      <x:c r="AJ24" s="56" t="str">
        <x:f>IF(AND(AJ$5&gt;='任务与甘特'!$T25,AJ$5&lt;='任务与甘特'!$U25),"■","")</x:f>
      </x:c>
      <x:c r="AK24" s="56" t="str">
        <x:f>IF(AND(AK$5&gt;='任务与甘特'!$T25,AK$5&lt;='任务与甘特'!$U25),"■","")</x:f>
      </x:c>
      <x:c r="AL24" s="56" t="str">
        <x:f>IF(AND(AL$5&gt;='任务与甘特'!$T25,AL$5&lt;='任务与甘特'!$U25),"■","")</x:f>
      </x:c>
      <x:c r="AM24" s="56" t="str">
        <x:f>IF(AND(AM$5&gt;='任务与甘特'!$T25,AM$5&lt;='任务与甘特'!$U25),"■","")</x:f>
      </x:c>
      <x:c r="AN24" s="56" t="str">
        <x:f>IF(AND(AN$5&gt;='任务与甘特'!$T25,AN$5&lt;='任务与甘特'!$U25),"■","")</x:f>
      </x:c>
      <x:c r="AO24" s="56" t="str">
        <x:f>IF(AND(AO$5&gt;='任务与甘特'!$T25,AO$5&lt;='任务与甘特'!$U25),"■","")</x:f>
      </x:c>
      <x:c r="AP24" s="56" t="str">
        <x:f>IF(AND(AP$5&gt;='任务与甘特'!$T25,AP$5&lt;='任务与甘特'!$U25),"■","")</x:f>
      </x:c>
    </x:row>
    <x:row r="25" ht="38" customHeight="1">
      <x:c r="A25" s="29" t="str">
        <x:f>'任务与甘特'!A26</x:f>
        <x:v>T3.12</x:v>
      </x:c>
      <x:c r="B25" s="29" t="str">
        <x:f>'任务与甘特'!B26</x:f>
        <x:v>实现各市取样与地区筛选</x:v>
      </x:c>
      <x:c r="C25" s="56" t="str">
        <x:f>IF(AND(C$5&gt;='任务与甘特'!$T26,C$5&lt;='任务与甘特'!$U26),"■","")</x:f>
      </x:c>
      <x:c r="D25" s="56" t="str">
        <x:f>IF(AND(D$5&gt;='任务与甘特'!$T26,D$5&lt;='任务与甘特'!$U26),"■","")</x:f>
      </x:c>
      <x:c r="E25" s="56" t="str">
        <x:f>IF(AND(E$5&gt;='任务与甘特'!$T26,E$5&lt;='任务与甘特'!$U26),"■","")</x:f>
      </x:c>
      <x:c r="F25" s="56" t="str">
        <x:f>IF(AND(F$5&gt;='任务与甘特'!$T26,F$5&lt;='任务与甘特'!$U26),"■","")</x:f>
      </x:c>
      <x:c r="G25" s="56" t="str">
        <x:f>IF(AND(G$5&gt;='任务与甘特'!$T26,G$5&lt;='任务与甘特'!$U26),"■","")</x:f>
      </x:c>
      <x:c r="H25" s="56" t="str">
        <x:f>IF(AND(H$5&gt;='任务与甘特'!$T26,H$5&lt;='任务与甘特'!$U26),"■","")</x:f>
      </x:c>
      <x:c r="I25" s="56" t="str">
        <x:f>IF(AND(I$5&gt;='任务与甘特'!$T26,I$5&lt;='任务与甘特'!$U26),"■","")</x:f>
      </x:c>
      <x:c r="J25" s="56" t="str">
        <x:f>IF(AND(J$5&gt;='任务与甘特'!$T26,J$5&lt;='任务与甘特'!$U26),"■","")</x:f>
      </x:c>
      <x:c r="K25" s="56" t="str">
        <x:f>IF(AND(K$5&gt;='任务与甘特'!$T26,K$5&lt;='任务与甘特'!$U26),"■","")</x:f>
      </x:c>
      <x:c r="L25" s="56" t="str">
        <x:f>IF(AND(L$5&gt;='任务与甘特'!$T26,L$5&lt;='任务与甘特'!$U26),"■","")</x:f>
      </x:c>
      <x:c r="M25" s="56" t="str">
        <x:f>IF(AND(M$5&gt;='任务与甘特'!$T26,M$5&lt;='任务与甘特'!$U26),"■","")</x:f>
      </x:c>
      <x:c r="N25" s="56" t="str">
        <x:f>IF(AND(N$5&gt;='任务与甘特'!$T26,N$5&lt;='任务与甘特'!$U26),"■","")</x:f>
      </x:c>
      <x:c r="O25" s="56" t="str">
        <x:f>IF(AND(O$5&gt;='任务与甘特'!$T26,O$5&lt;='任务与甘特'!$U26),"■","")</x:f>
      </x:c>
      <x:c r="P25" s="56" t="str">
        <x:f>IF(AND(P$5&gt;='任务与甘特'!$T26,P$5&lt;='任务与甘特'!$U26),"■","")</x:f>
      </x:c>
      <x:c r="Q25" s="56" t="str">
        <x:f>IF(AND(Q$5&gt;='任务与甘特'!$T26,Q$5&lt;='任务与甘特'!$U26),"■","")</x:f>
      </x:c>
      <x:c r="R25" s="56" t="str">
        <x:f>IF(AND(R$5&gt;='任务与甘特'!$T26,R$5&lt;='任务与甘特'!$U26),"■","")</x:f>
      </x:c>
      <x:c r="S25" s="56" t="str">
        <x:f>IF(AND(S$5&gt;='任务与甘特'!$T26,S$5&lt;='任务与甘特'!$U26),"■","")</x:f>
      </x:c>
      <x:c r="T25" s="56" t="str">
        <x:f>IF(AND(T$5&gt;='任务与甘特'!$T26,T$5&lt;='任务与甘特'!$U26),"■","")</x:f>
      </x:c>
      <x:c r="U25" s="56" t="str">
        <x:f>IF(AND(U$5&gt;='任务与甘特'!$T26,U$5&lt;='任务与甘特'!$U26),"■","")</x:f>
      </x:c>
      <x:c r="V25" s="56" t="str">
        <x:f>IF(AND(V$5&gt;='任务与甘特'!$T26,V$5&lt;='任务与甘特'!$U26),"■","")</x:f>
      </x:c>
      <x:c r="W25" s="56" t="str">
        <x:f>IF(AND(W$5&gt;='任务与甘特'!$T26,W$5&lt;='任务与甘特'!$U26),"■","")</x:f>
      </x:c>
      <x:c r="X25" s="56" t="str">
        <x:f>IF(AND(X$5&gt;='任务与甘特'!$T26,X$5&lt;='任务与甘特'!$U26),"■","")</x:f>
      </x:c>
      <x:c r="Y25" s="56" t="str">
        <x:f>IF(AND(Y$5&gt;='任务与甘特'!$T26,Y$5&lt;='任务与甘特'!$U26),"■","")</x:f>
        <x:v>■</x:v>
      </x:c>
      <x:c r="Z25" s="56" t="str">
        <x:f>IF(AND(Z$5&gt;='任务与甘特'!$T26,Z$5&lt;='任务与甘特'!$U26),"■","")</x:f>
        <x:v>■</x:v>
      </x:c>
      <x:c r="AA25" s="56" t="str">
        <x:f>IF(AND(AA$5&gt;='任务与甘特'!$T26,AA$5&lt;='任务与甘特'!$U26),"■","")</x:f>
      </x:c>
      <x:c r="AB25" s="56" t="str">
        <x:f>IF(AND(AB$5&gt;='任务与甘特'!$T26,AB$5&lt;='任务与甘特'!$U26),"■","")</x:f>
      </x:c>
      <x:c r="AC25" s="56" t="str">
        <x:f>IF(AND(AC$5&gt;='任务与甘特'!$T26,AC$5&lt;='任务与甘特'!$U26),"■","")</x:f>
      </x:c>
      <x:c r="AD25" s="56" t="str">
        <x:f>IF(AND(AD$5&gt;='任务与甘特'!$T26,AD$5&lt;='任务与甘特'!$U26),"■","")</x:f>
      </x:c>
      <x:c r="AE25" s="56" t="str">
        <x:f>IF(AND(AE$5&gt;='任务与甘特'!$T26,AE$5&lt;='任务与甘特'!$U26),"■","")</x:f>
      </x:c>
      <x:c r="AF25" s="56" t="str">
        <x:f>IF(AND(AF$5&gt;='任务与甘特'!$T26,AF$5&lt;='任务与甘特'!$U26),"■","")</x:f>
      </x:c>
      <x:c r="AG25" s="56" t="str">
        <x:f>IF(AND(AG$5&gt;='任务与甘特'!$T26,AG$5&lt;='任务与甘特'!$U26),"■","")</x:f>
      </x:c>
      <x:c r="AH25" s="56" t="str">
        <x:f>IF(AND(AH$5&gt;='任务与甘特'!$T26,AH$5&lt;='任务与甘特'!$U26),"■","")</x:f>
      </x:c>
      <x:c r="AI25" s="56" t="str">
        <x:f>IF(AND(AI$5&gt;='任务与甘特'!$T26,AI$5&lt;='任务与甘特'!$U26),"■","")</x:f>
      </x:c>
      <x:c r="AJ25" s="56" t="str">
        <x:f>IF(AND(AJ$5&gt;='任务与甘特'!$T26,AJ$5&lt;='任务与甘特'!$U26),"■","")</x:f>
      </x:c>
      <x:c r="AK25" s="56" t="str">
        <x:f>IF(AND(AK$5&gt;='任务与甘特'!$T26,AK$5&lt;='任务与甘特'!$U26),"■","")</x:f>
      </x:c>
      <x:c r="AL25" s="56" t="str">
        <x:f>IF(AND(AL$5&gt;='任务与甘特'!$T26,AL$5&lt;='任务与甘特'!$U26),"■","")</x:f>
      </x:c>
      <x:c r="AM25" s="56" t="str">
        <x:f>IF(AND(AM$5&gt;='任务与甘特'!$T26,AM$5&lt;='任务与甘特'!$U26),"■","")</x:f>
      </x:c>
      <x:c r="AN25" s="56" t="str">
        <x:f>IF(AND(AN$5&gt;='任务与甘特'!$T26,AN$5&lt;='任务与甘特'!$U26),"■","")</x:f>
      </x:c>
      <x:c r="AO25" s="56" t="str">
        <x:f>IF(AND(AO$5&gt;='任务与甘特'!$T26,AO$5&lt;='任务与甘特'!$U26),"■","")</x:f>
      </x:c>
      <x:c r="AP25" s="56" t="str">
        <x:f>IF(AND(AP$5&gt;='任务与甘特'!$T26,AP$5&lt;='任务与甘特'!$U26),"■","")</x:f>
      </x:c>
    </x:row>
    <x:row r="26" ht="38" customHeight="1">
      <x:c r="A26" s="29" t="str">
        <x:f>'任务与甘特'!A27</x:f>
        <x:v>T3.13</x:v>
      </x:c>
      <x:c r="B26" s="29" t="str">
        <x:f>'任务与甘特'!B27</x:f>
        <x:v>实现两期比较与连续期趋势</x:v>
      </x:c>
      <x:c r="C26" s="56" t="str">
        <x:f>IF(AND(C$5&gt;='任务与甘特'!$T27,C$5&lt;='任务与甘特'!$U27),"■","")</x:f>
      </x:c>
      <x:c r="D26" s="56" t="str">
        <x:f>IF(AND(D$5&gt;='任务与甘特'!$T27,D$5&lt;='任务与甘特'!$U27),"■","")</x:f>
      </x:c>
      <x:c r="E26" s="56" t="str">
        <x:f>IF(AND(E$5&gt;='任务与甘特'!$T27,E$5&lt;='任务与甘特'!$U27),"■","")</x:f>
      </x:c>
      <x:c r="F26" s="56" t="str">
        <x:f>IF(AND(F$5&gt;='任务与甘特'!$T27,F$5&lt;='任务与甘特'!$U27),"■","")</x:f>
      </x:c>
      <x:c r="G26" s="56" t="str">
        <x:f>IF(AND(G$5&gt;='任务与甘特'!$T27,G$5&lt;='任务与甘特'!$U27),"■","")</x:f>
      </x:c>
      <x:c r="H26" s="56" t="str">
        <x:f>IF(AND(H$5&gt;='任务与甘特'!$T27,H$5&lt;='任务与甘特'!$U27),"■","")</x:f>
      </x:c>
      <x:c r="I26" s="56" t="str">
        <x:f>IF(AND(I$5&gt;='任务与甘特'!$T27,I$5&lt;='任务与甘特'!$U27),"■","")</x:f>
      </x:c>
      <x:c r="J26" s="56" t="str">
        <x:f>IF(AND(J$5&gt;='任务与甘特'!$T27,J$5&lt;='任务与甘特'!$U27),"■","")</x:f>
      </x:c>
      <x:c r="K26" s="56" t="str">
        <x:f>IF(AND(K$5&gt;='任务与甘特'!$T27,K$5&lt;='任务与甘特'!$U27),"■","")</x:f>
      </x:c>
      <x:c r="L26" s="56" t="str">
        <x:f>IF(AND(L$5&gt;='任务与甘特'!$T27,L$5&lt;='任务与甘特'!$U27),"■","")</x:f>
      </x:c>
      <x:c r="M26" s="56" t="str">
        <x:f>IF(AND(M$5&gt;='任务与甘特'!$T27,M$5&lt;='任务与甘特'!$U27),"■","")</x:f>
      </x:c>
      <x:c r="N26" s="56" t="str">
        <x:f>IF(AND(N$5&gt;='任务与甘特'!$T27,N$5&lt;='任务与甘特'!$U27),"■","")</x:f>
      </x:c>
      <x:c r="O26" s="56" t="str">
        <x:f>IF(AND(O$5&gt;='任务与甘特'!$T27,O$5&lt;='任务与甘特'!$U27),"■","")</x:f>
      </x:c>
      <x:c r="P26" s="56" t="str">
        <x:f>IF(AND(P$5&gt;='任务与甘特'!$T27,P$5&lt;='任务与甘特'!$U27),"■","")</x:f>
      </x:c>
      <x:c r="Q26" s="56" t="str">
        <x:f>IF(AND(Q$5&gt;='任务与甘特'!$T27,Q$5&lt;='任务与甘特'!$U27),"■","")</x:f>
      </x:c>
      <x:c r="R26" s="56" t="str">
        <x:f>IF(AND(R$5&gt;='任务与甘特'!$T27,R$5&lt;='任务与甘特'!$U27),"■","")</x:f>
      </x:c>
      <x:c r="S26" s="56" t="str">
        <x:f>IF(AND(S$5&gt;='任务与甘特'!$T27,S$5&lt;='任务与甘特'!$U27),"■","")</x:f>
      </x:c>
      <x:c r="T26" s="56" t="str">
        <x:f>IF(AND(T$5&gt;='任务与甘特'!$T27,T$5&lt;='任务与甘特'!$U27),"■","")</x:f>
      </x:c>
      <x:c r="U26" s="56" t="str">
        <x:f>IF(AND(U$5&gt;='任务与甘特'!$T27,U$5&lt;='任务与甘特'!$U27),"■","")</x:f>
      </x:c>
      <x:c r="V26" s="56" t="str">
        <x:f>IF(AND(V$5&gt;='任务与甘特'!$T27,V$5&lt;='任务与甘特'!$U27),"■","")</x:f>
      </x:c>
      <x:c r="W26" s="56" t="str">
        <x:f>IF(AND(W$5&gt;='任务与甘特'!$T27,W$5&lt;='任务与甘特'!$U27),"■","")</x:f>
      </x:c>
      <x:c r="X26" s="56" t="str">
        <x:f>IF(AND(X$5&gt;='任务与甘特'!$T27,X$5&lt;='任务与甘特'!$U27),"■","")</x:f>
        <x:v>■</x:v>
      </x:c>
      <x:c r="Y26" s="56" t="str">
        <x:f>IF(AND(Y$5&gt;='任务与甘特'!$T27,Y$5&lt;='任务与甘特'!$U27),"■","")</x:f>
        <x:v>■</x:v>
      </x:c>
      <x:c r="Z26" s="56" t="str">
        <x:f>IF(AND(Z$5&gt;='任务与甘特'!$T27,Z$5&lt;='任务与甘特'!$U27),"■","")</x:f>
        <x:v>■</x:v>
      </x:c>
      <x:c r="AA26" s="56" t="str">
        <x:f>IF(AND(AA$5&gt;='任务与甘特'!$T27,AA$5&lt;='任务与甘特'!$U27),"■","")</x:f>
      </x:c>
      <x:c r="AB26" s="56" t="str">
        <x:f>IF(AND(AB$5&gt;='任务与甘特'!$T27,AB$5&lt;='任务与甘特'!$U27),"■","")</x:f>
      </x:c>
      <x:c r="AC26" s="56" t="str">
        <x:f>IF(AND(AC$5&gt;='任务与甘特'!$T27,AC$5&lt;='任务与甘特'!$U27),"■","")</x:f>
      </x:c>
      <x:c r="AD26" s="56" t="str">
        <x:f>IF(AND(AD$5&gt;='任务与甘特'!$T27,AD$5&lt;='任务与甘特'!$U27),"■","")</x:f>
      </x:c>
      <x:c r="AE26" s="56" t="str">
        <x:f>IF(AND(AE$5&gt;='任务与甘特'!$T27,AE$5&lt;='任务与甘特'!$U27),"■","")</x:f>
      </x:c>
      <x:c r="AF26" s="56" t="str">
        <x:f>IF(AND(AF$5&gt;='任务与甘特'!$T27,AF$5&lt;='任务与甘特'!$U27),"■","")</x:f>
      </x:c>
      <x:c r="AG26" s="56" t="str">
        <x:f>IF(AND(AG$5&gt;='任务与甘特'!$T27,AG$5&lt;='任务与甘特'!$U27),"■","")</x:f>
      </x:c>
      <x:c r="AH26" s="56" t="str">
        <x:f>IF(AND(AH$5&gt;='任务与甘特'!$T27,AH$5&lt;='任务与甘特'!$U27),"■","")</x:f>
      </x:c>
      <x:c r="AI26" s="56" t="str">
        <x:f>IF(AND(AI$5&gt;='任务与甘特'!$T27,AI$5&lt;='任务与甘特'!$U27),"■","")</x:f>
      </x:c>
      <x:c r="AJ26" s="56" t="str">
        <x:f>IF(AND(AJ$5&gt;='任务与甘特'!$T27,AJ$5&lt;='任务与甘特'!$U27),"■","")</x:f>
      </x:c>
      <x:c r="AK26" s="56" t="str">
        <x:f>IF(AND(AK$5&gt;='任务与甘特'!$T27,AK$5&lt;='任务与甘特'!$U27),"■","")</x:f>
      </x:c>
      <x:c r="AL26" s="56" t="str">
        <x:f>IF(AND(AL$5&gt;='任务与甘特'!$T27,AL$5&lt;='任务与甘特'!$U27),"■","")</x:f>
      </x:c>
      <x:c r="AM26" s="56" t="str">
        <x:f>IF(AND(AM$5&gt;='任务与甘特'!$T27,AM$5&lt;='任务与甘特'!$U27),"■","")</x:f>
      </x:c>
      <x:c r="AN26" s="56" t="str">
        <x:f>IF(AND(AN$5&gt;='任务与甘特'!$T27,AN$5&lt;='任务与甘特'!$U27),"■","")</x:f>
      </x:c>
      <x:c r="AO26" s="56" t="str">
        <x:f>IF(AND(AO$5&gt;='任务与甘特'!$T27,AO$5&lt;='任务与甘特'!$U27),"■","")</x:f>
      </x:c>
      <x:c r="AP26" s="56" t="str">
        <x:f>IF(AND(AP$5&gt;='任务与甘特'!$T27,AP$5&lt;='任务与甘特'!$U27),"■","")</x:f>
      </x:c>
    </x:row>
    <x:row r="27" ht="38" customHeight="1">
      <x:c r="A27" s="29" t="str">
        <x:f>'任务与甘特'!A28</x:f>
        <x:v>T3.14</x:v>
      </x:c>
      <x:c r="B27" s="29" t="str">
        <x:f>'任务与甘特'!B28</x:f>
        <x:v>实现通知与用户管理界面</x:v>
      </x:c>
      <x:c r="C27" s="56" t="str">
        <x:f>IF(AND(C$5&gt;='任务与甘特'!$T28,C$5&lt;='任务与甘特'!$U28),"■","")</x:f>
      </x:c>
      <x:c r="D27" s="56" t="str">
        <x:f>IF(AND(D$5&gt;='任务与甘特'!$T28,D$5&lt;='任务与甘特'!$U28),"■","")</x:f>
      </x:c>
      <x:c r="E27" s="56" t="str">
        <x:f>IF(AND(E$5&gt;='任务与甘特'!$T28,E$5&lt;='任务与甘特'!$U28),"■","")</x:f>
      </x:c>
      <x:c r="F27" s="56" t="str">
        <x:f>IF(AND(F$5&gt;='任务与甘特'!$T28,F$5&lt;='任务与甘特'!$U28),"■","")</x:f>
      </x:c>
      <x:c r="G27" s="56" t="str">
        <x:f>IF(AND(G$5&gt;='任务与甘特'!$T28,G$5&lt;='任务与甘特'!$U28),"■","")</x:f>
      </x:c>
      <x:c r="H27" s="56" t="str">
        <x:f>IF(AND(H$5&gt;='任务与甘特'!$T28,H$5&lt;='任务与甘特'!$U28),"■","")</x:f>
      </x:c>
      <x:c r="I27" s="56" t="str">
        <x:f>IF(AND(I$5&gt;='任务与甘特'!$T28,I$5&lt;='任务与甘特'!$U28),"■","")</x:f>
      </x:c>
      <x:c r="J27" s="56" t="str">
        <x:f>IF(AND(J$5&gt;='任务与甘特'!$T28,J$5&lt;='任务与甘特'!$U28),"■","")</x:f>
      </x:c>
      <x:c r="K27" s="56" t="str">
        <x:f>IF(AND(K$5&gt;='任务与甘特'!$T28,K$5&lt;='任务与甘特'!$U28),"■","")</x:f>
      </x:c>
      <x:c r="L27" s="56" t="str">
        <x:f>IF(AND(L$5&gt;='任务与甘特'!$T28,L$5&lt;='任务与甘特'!$U28),"■","")</x:f>
      </x:c>
      <x:c r="M27" s="56" t="str">
        <x:f>IF(AND(M$5&gt;='任务与甘特'!$T28,M$5&lt;='任务与甘特'!$U28),"■","")</x:f>
      </x:c>
      <x:c r="N27" s="56" t="str">
        <x:f>IF(AND(N$5&gt;='任务与甘特'!$T28,N$5&lt;='任务与甘特'!$U28),"■","")</x:f>
      </x:c>
      <x:c r="O27" s="56" t="str">
        <x:f>IF(AND(O$5&gt;='任务与甘特'!$T28,O$5&lt;='任务与甘特'!$U28),"■","")</x:f>
      </x:c>
      <x:c r="P27" s="56" t="str">
        <x:f>IF(AND(P$5&gt;='任务与甘特'!$T28,P$5&lt;='任务与甘特'!$U28),"■","")</x:f>
      </x:c>
      <x:c r="Q27" s="56" t="str">
        <x:f>IF(AND(Q$5&gt;='任务与甘特'!$T28,Q$5&lt;='任务与甘特'!$U28),"■","")</x:f>
      </x:c>
      <x:c r="R27" s="56" t="str">
        <x:f>IF(AND(R$5&gt;='任务与甘特'!$T28,R$5&lt;='任务与甘特'!$U28),"■","")</x:f>
      </x:c>
      <x:c r="S27" s="56" t="str">
        <x:f>IF(AND(S$5&gt;='任务与甘特'!$T28,S$5&lt;='任务与甘特'!$U28),"■","")</x:f>
      </x:c>
      <x:c r="T27" s="56" t="str">
        <x:f>IF(AND(T$5&gt;='任务与甘特'!$T28,T$5&lt;='任务与甘特'!$U28),"■","")</x:f>
      </x:c>
      <x:c r="U27" s="56" t="str">
        <x:f>IF(AND(U$5&gt;='任务与甘特'!$T28,U$5&lt;='任务与甘特'!$U28),"■","")</x:f>
      </x:c>
      <x:c r="V27" s="56" t="str">
        <x:f>IF(AND(V$5&gt;='任务与甘特'!$T28,V$5&lt;='任务与甘特'!$U28),"■","")</x:f>
      </x:c>
      <x:c r="W27" s="56" t="str">
        <x:f>IF(AND(W$5&gt;='任务与甘特'!$T28,W$5&lt;='任务与甘特'!$U28),"■","")</x:f>
        <x:v>■</x:v>
      </x:c>
      <x:c r="X27" s="56" t="str">
        <x:f>IF(AND(X$5&gt;='任务与甘特'!$T28,X$5&lt;='任务与甘特'!$U28),"■","")</x:f>
        <x:v>■</x:v>
      </x:c>
      <x:c r="Y27" s="56" t="str">
        <x:f>IF(AND(Y$5&gt;='任务与甘特'!$T28,Y$5&lt;='任务与甘特'!$U28),"■","")</x:f>
      </x:c>
      <x:c r="Z27" s="56" t="str">
        <x:f>IF(AND(Z$5&gt;='任务与甘特'!$T28,Z$5&lt;='任务与甘特'!$U28),"■","")</x:f>
      </x:c>
      <x:c r="AA27" s="56" t="str">
        <x:f>IF(AND(AA$5&gt;='任务与甘特'!$T28,AA$5&lt;='任务与甘特'!$U28),"■","")</x:f>
      </x:c>
      <x:c r="AB27" s="56" t="str">
        <x:f>IF(AND(AB$5&gt;='任务与甘特'!$T28,AB$5&lt;='任务与甘特'!$U28),"■","")</x:f>
      </x:c>
      <x:c r="AC27" s="56" t="str">
        <x:f>IF(AND(AC$5&gt;='任务与甘特'!$T28,AC$5&lt;='任务与甘特'!$U28),"■","")</x:f>
      </x:c>
      <x:c r="AD27" s="56" t="str">
        <x:f>IF(AND(AD$5&gt;='任务与甘特'!$T28,AD$5&lt;='任务与甘特'!$U28),"■","")</x:f>
      </x:c>
      <x:c r="AE27" s="56" t="str">
        <x:f>IF(AND(AE$5&gt;='任务与甘特'!$T28,AE$5&lt;='任务与甘特'!$U28),"■","")</x:f>
      </x:c>
      <x:c r="AF27" s="56" t="str">
        <x:f>IF(AND(AF$5&gt;='任务与甘特'!$T28,AF$5&lt;='任务与甘特'!$U28),"■","")</x:f>
      </x:c>
      <x:c r="AG27" s="56" t="str">
        <x:f>IF(AND(AG$5&gt;='任务与甘特'!$T28,AG$5&lt;='任务与甘特'!$U28),"■","")</x:f>
      </x:c>
      <x:c r="AH27" s="56" t="str">
        <x:f>IF(AND(AH$5&gt;='任务与甘特'!$T28,AH$5&lt;='任务与甘特'!$U28),"■","")</x:f>
      </x:c>
      <x:c r="AI27" s="56" t="str">
        <x:f>IF(AND(AI$5&gt;='任务与甘特'!$T28,AI$5&lt;='任务与甘特'!$U28),"■","")</x:f>
      </x:c>
      <x:c r="AJ27" s="56" t="str">
        <x:f>IF(AND(AJ$5&gt;='任务与甘特'!$T28,AJ$5&lt;='任务与甘特'!$U28),"■","")</x:f>
      </x:c>
      <x:c r="AK27" s="56" t="str">
        <x:f>IF(AND(AK$5&gt;='任务与甘特'!$T28,AK$5&lt;='任务与甘特'!$U28),"■","")</x:f>
      </x:c>
      <x:c r="AL27" s="56" t="str">
        <x:f>IF(AND(AL$5&gt;='任务与甘特'!$T28,AL$5&lt;='任务与甘特'!$U28),"■","")</x:f>
      </x:c>
      <x:c r="AM27" s="56" t="str">
        <x:f>IF(AND(AM$5&gt;='任务与甘特'!$T28,AM$5&lt;='任务与甘特'!$U28),"■","")</x:f>
      </x:c>
      <x:c r="AN27" s="56" t="str">
        <x:f>IF(AND(AN$5&gt;='任务与甘特'!$T28,AN$5&lt;='任务与甘特'!$U28),"■","")</x:f>
      </x:c>
      <x:c r="AO27" s="56" t="str">
        <x:f>IF(AND(AO$5&gt;='任务与甘特'!$T28,AO$5&lt;='任务与甘特'!$U28),"■","")</x:f>
      </x:c>
      <x:c r="AP27" s="56" t="str">
        <x:f>IF(AND(AP$5&gt;='任务与甘特'!$T28,AP$5&lt;='任务与甘特'!$U28),"■","")</x:f>
      </x:c>
    </x:row>
    <x:row r="28" ht="38" customHeight="1">
      <x:c r="A28" s="29" t="str">
        <x:f>'任务与甘特'!A29</x:f>
        <x:v>T3.15</x:v>
      </x:c>
      <x:c r="B28" s="29" t="str">
        <x:f>'任务与甘特'!B29</x:f>
        <x:v>实现删除恢复、脱敏与审计</x:v>
      </x:c>
      <x:c r="C28" s="56" t="str">
        <x:f>IF(AND(C$5&gt;='任务与甘特'!$T29,C$5&lt;='任务与甘特'!$U29),"■","")</x:f>
      </x:c>
      <x:c r="D28" s="56" t="str">
        <x:f>IF(AND(D$5&gt;='任务与甘特'!$T29,D$5&lt;='任务与甘特'!$U29),"■","")</x:f>
      </x:c>
      <x:c r="E28" s="56" t="str">
        <x:f>IF(AND(E$5&gt;='任务与甘特'!$T29,E$5&lt;='任务与甘特'!$U29),"■","")</x:f>
      </x:c>
      <x:c r="F28" s="56" t="str">
        <x:f>IF(AND(F$5&gt;='任务与甘特'!$T29,F$5&lt;='任务与甘特'!$U29),"■","")</x:f>
      </x:c>
      <x:c r="G28" s="56" t="str">
        <x:f>IF(AND(G$5&gt;='任务与甘特'!$T29,G$5&lt;='任务与甘特'!$U29),"■","")</x:f>
      </x:c>
      <x:c r="H28" s="56" t="str">
        <x:f>IF(AND(H$5&gt;='任务与甘特'!$T29,H$5&lt;='任务与甘特'!$U29),"■","")</x:f>
      </x:c>
      <x:c r="I28" s="56" t="str">
        <x:f>IF(AND(I$5&gt;='任务与甘特'!$T29,I$5&lt;='任务与甘特'!$U29),"■","")</x:f>
      </x:c>
      <x:c r="J28" s="56" t="str">
        <x:f>IF(AND(J$5&gt;='任务与甘特'!$T29,J$5&lt;='任务与甘特'!$U29),"■","")</x:f>
      </x:c>
      <x:c r="K28" s="56" t="str">
        <x:f>IF(AND(K$5&gt;='任务与甘特'!$T29,K$5&lt;='任务与甘特'!$U29),"■","")</x:f>
      </x:c>
      <x:c r="L28" s="56" t="str">
        <x:f>IF(AND(L$5&gt;='任务与甘特'!$T29,L$5&lt;='任务与甘特'!$U29),"■","")</x:f>
      </x:c>
      <x:c r="M28" s="56" t="str">
        <x:f>IF(AND(M$5&gt;='任务与甘特'!$T29,M$5&lt;='任务与甘特'!$U29),"■","")</x:f>
      </x:c>
      <x:c r="N28" s="56" t="str">
        <x:f>IF(AND(N$5&gt;='任务与甘特'!$T29,N$5&lt;='任务与甘特'!$U29),"■","")</x:f>
      </x:c>
      <x:c r="O28" s="56" t="str">
        <x:f>IF(AND(O$5&gt;='任务与甘特'!$T29,O$5&lt;='任务与甘特'!$U29),"■","")</x:f>
      </x:c>
      <x:c r="P28" s="56" t="str">
        <x:f>IF(AND(P$5&gt;='任务与甘特'!$T29,P$5&lt;='任务与甘特'!$U29),"■","")</x:f>
      </x:c>
      <x:c r="Q28" s="56" t="str">
        <x:f>IF(AND(Q$5&gt;='任务与甘特'!$T29,Q$5&lt;='任务与甘特'!$U29),"■","")</x:f>
      </x:c>
      <x:c r="R28" s="56" t="str">
        <x:f>IF(AND(R$5&gt;='任务与甘特'!$T29,R$5&lt;='任务与甘特'!$U29),"■","")</x:f>
      </x:c>
      <x:c r="S28" s="56" t="str">
        <x:f>IF(AND(S$5&gt;='任务与甘特'!$T29,S$5&lt;='任务与甘特'!$U29),"■","")</x:f>
      </x:c>
      <x:c r="T28" s="56" t="str">
        <x:f>IF(AND(T$5&gt;='任务与甘特'!$T29,T$5&lt;='任务与甘特'!$U29),"■","")</x:f>
        <x:v>■</x:v>
      </x:c>
      <x:c r="U28" s="56" t="str">
        <x:f>IF(AND(U$5&gt;='任务与甘特'!$T29,U$5&lt;='任务与甘特'!$U29),"■","")</x:f>
        <x:v>■</x:v>
      </x:c>
      <x:c r="V28" s="56" t="str">
        <x:f>IF(AND(V$5&gt;='任务与甘特'!$T29,V$5&lt;='任务与甘特'!$U29),"■","")</x:f>
        <x:v>■</x:v>
      </x:c>
      <x:c r="W28" s="56" t="str">
        <x:f>IF(AND(W$5&gt;='任务与甘特'!$T29,W$5&lt;='任务与甘特'!$U29),"■","")</x:f>
      </x:c>
      <x:c r="X28" s="56" t="str">
        <x:f>IF(AND(X$5&gt;='任务与甘特'!$T29,X$5&lt;='任务与甘特'!$U29),"■","")</x:f>
      </x:c>
      <x:c r="Y28" s="56" t="str">
        <x:f>IF(AND(Y$5&gt;='任务与甘特'!$T29,Y$5&lt;='任务与甘特'!$U29),"■","")</x:f>
      </x:c>
      <x:c r="Z28" s="56" t="str">
        <x:f>IF(AND(Z$5&gt;='任务与甘特'!$T29,Z$5&lt;='任务与甘特'!$U29),"■","")</x:f>
      </x:c>
      <x:c r="AA28" s="56" t="str">
        <x:f>IF(AND(AA$5&gt;='任务与甘特'!$T29,AA$5&lt;='任务与甘特'!$U29),"■","")</x:f>
      </x:c>
      <x:c r="AB28" s="56" t="str">
        <x:f>IF(AND(AB$5&gt;='任务与甘特'!$T29,AB$5&lt;='任务与甘特'!$U29),"■","")</x:f>
      </x:c>
      <x:c r="AC28" s="56" t="str">
        <x:f>IF(AND(AC$5&gt;='任务与甘特'!$T29,AC$5&lt;='任务与甘特'!$U29),"■","")</x:f>
      </x:c>
      <x:c r="AD28" s="56" t="str">
        <x:f>IF(AND(AD$5&gt;='任务与甘特'!$T29,AD$5&lt;='任务与甘特'!$U29),"■","")</x:f>
      </x:c>
      <x:c r="AE28" s="56" t="str">
        <x:f>IF(AND(AE$5&gt;='任务与甘特'!$T29,AE$5&lt;='任务与甘特'!$U29),"■","")</x:f>
      </x:c>
      <x:c r="AF28" s="56" t="str">
        <x:f>IF(AND(AF$5&gt;='任务与甘特'!$T29,AF$5&lt;='任务与甘特'!$U29),"■","")</x:f>
      </x:c>
      <x:c r="AG28" s="56" t="str">
        <x:f>IF(AND(AG$5&gt;='任务与甘特'!$T29,AG$5&lt;='任务与甘特'!$U29),"■","")</x:f>
      </x:c>
      <x:c r="AH28" s="56" t="str">
        <x:f>IF(AND(AH$5&gt;='任务与甘特'!$T29,AH$5&lt;='任务与甘特'!$U29),"■","")</x:f>
      </x:c>
      <x:c r="AI28" s="56" t="str">
        <x:f>IF(AND(AI$5&gt;='任务与甘特'!$T29,AI$5&lt;='任务与甘特'!$U29),"■","")</x:f>
      </x:c>
      <x:c r="AJ28" s="56" t="str">
        <x:f>IF(AND(AJ$5&gt;='任务与甘特'!$T29,AJ$5&lt;='任务与甘特'!$U29),"■","")</x:f>
      </x:c>
      <x:c r="AK28" s="56" t="str">
        <x:f>IF(AND(AK$5&gt;='任务与甘特'!$T29,AK$5&lt;='任务与甘特'!$U29),"■","")</x:f>
      </x:c>
      <x:c r="AL28" s="56" t="str">
        <x:f>IF(AND(AL$5&gt;='任务与甘特'!$T29,AL$5&lt;='任务与甘特'!$U29),"■","")</x:f>
      </x:c>
      <x:c r="AM28" s="56" t="str">
        <x:f>IF(AND(AM$5&gt;='任务与甘特'!$T29,AM$5&lt;='任务与甘特'!$U29),"■","")</x:f>
      </x:c>
      <x:c r="AN28" s="56" t="str">
        <x:f>IF(AND(AN$5&gt;='任务与甘特'!$T29,AN$5&lt;='任务与甘特'!$U29),"■","")</x:f>
      </x:c>
      <x:c r="AO28" s="56" t="str">
        <x:f>IF(AND(AO$5&gt;='任务与甘特'!$T29,AO$5&lt;='任务与甘特'!$U29),"■","")</x:f>
      </x:c>
      <x:c r="AP28" s="56" t="str">
        <x:f>IF(AND(AP$5&gt;='任务与甘特'!$T29,AP$5&lt;='任务与甘特'!$U29),"■","")</x:f>
      </x:c>
    </x:row>
    <x:row r="29" ht="38" customHeight="1">
      <x:c r="A29" s="29" t="str">
        <x:f>'任务与甘特'!A30</x:f>
        <x:v>T3.16</x:v>
      </x:c>
      <x:c r="B29" s="29" t="str">
        <x:f>'任务与甘特'!B30</x:f>
        <x:v>实现运行监控与指标采集</x:v>
      </x:c>
      <x:c r="C29" s="56" t="str">
        <x:f>IF(AND(C$5&gt;='任务与甘特'!$T30,C$5&lt;='任务与甘特'!$U30),"■","")</x:f>
      </x:c>
      <x:c r="D29" s="56" t="str">
        <x:f>IF(AND(D$5&gt;='任务与甘特'!$T30,D$5&lt;='任务与甘特'!$U30),"■","")</x:f>
      </x:c>
      <x:c r="E29" s="56" t="str">
        <x:f>IF(AND(E$5&gt;='任务与甘特'!$T30,E$5&lt;='任务与甘特'!$U30),"■","")</x:f>
      </x:c>
      <x:c r="F29" s="56" t="str">
        <x:f>IF(AND(F$5&gt;='任务与甘特'!$T30,F$5&lt;='任务与甘特'!$U30),"■","")</x:f>
      </x:c>
      <x:c r="G29" s="56" t="str">
        <x:f>IF(AND(G$5&gt;='任务与甘特'!$T30,G$5&lt;='任务与甘特'!$U30),"■","")</x:f>
      </x:c>
      <x:c r="H29" s="56" t="str">
        <x:f>IF(AND(H$5&gt;='任务与甘特'!$T30,H$5&lt;='任务与甘特'!$U30),"■","")</x:f>
      </x:c>
      <x:c r="I29" s="56" t="str">
        <x:f>IF(AND(I$5&gt;='任务与甘特'!$T30,I$5&lt;='任务与甘特'!$U30),"■","")</x:f>
      </x:c>
      <x:c r="J29" s="56" t="str">
        <x:f>IF(AND(J$5&gt;='任务与甘特'!$T30,J$5&lt;='任务与甘特'!$U30),"■","")</x:f>
      </x:c>
      <x:c r="K29" s="56" t="str">
        <x:f>IF(AND(K$5&gt;='任务与甘特'!$T30,K$5&lt;='任务与甘特'!$U30),"■","")</x:f>
      </x:c>
      <x:c r="L29" s="56" t="str">
        <x:f>IF(AND(L$5&gt;='任务与甘特'!$T30,L$5&lt;='任务与甘特'!$U30),"■","")</x:f>
        <x:v>■</x:v>
      </x:c>
      <x:c r="M29" s="56" t="str">
        <x:f>IF(AND(M$5&gt;='任务与甘特'!$T30,M$5&lt;='任务与甘特'!$U30),"■","")</x:f>
        <x:v>■</x:v>
      </x:c>
      <x:c r="N29" s="56" t="str">
        <x:f>IF(AND(N$5&gt;='任务与甘特'!$T30,N$5&lt;='任务与甘特'!$U30),"■","")</x:f>
      </x:c>
      <x:c r="O29" s="56" t="str">
        <x:f>IF(AND(O$5&gt;='任务与甘特'!$T30,O$5&lt;='任务与甘特'!$U30),"■","")</x:f>
      </x:c>
      <x:c r="P29" s="56" t="str">
        <x:f>IF(AND(P$5&gt;='任务与甘特'!$T30,P$5&lt;='任务与甘特'!$U30),"■","")</x:f>
      </x:c>
      <x:c r="Q29" s="56" t="str">
        <x:f>IF(AND(Q$5&gt;='任务与甘特'!$T30,Q$5&lt;='任务与甘特'!$U30),"■","")</x:f>
      </x:c>
      <x:c r="R29" s="56" t="str">
        <x:f>IF(AND(R$5&gt;='任务与甘特'!$T30,R$5&lt;='任务与甘特'!$U30),"■","")</x:f>
      </x:c>
      <x:c r="S29" s="56" t="str">
        <x:f>IF(AND(S$5&gt;='任务与甘特'!$T30,S$5&lt;='任务与甘特'!$U30),"■","")</x:f>
      </x:c>
      <x:c r="T29" s="56" t="str">
        <x:f>IF(AND(T$5&gt;='任务与甘特'!$T30,T$5&lt;='任务与甘特'!$U30),"■","")</x:f>
      </x:c>
      <x:c r="U29" s="56" t="str">
        <x:f>IF(AND(U$5&gt;='任务与甘特'!$T30,U$5&lt;='任务与甘特'!$U30),"■","")</x:f>
      </x:c>
      <x:c r="V29" s="56" t="str">
        <x:f>IF(AND(V$5&gt;='任务与甘特'!$T30,V$5&lt;='任务与甘特'!$U30),"■","")</x:f>
      </x:c>
      <x:c r="W29" s="56" t="str">
        <x:f>IF(AND(W$5&gt;='任务与甘特'!$T30,W$5&lt;='任务与甘特'!$U30),"■","")</x:f>
      </x:c>
      <x:c r="X29" s="56" t="str">
        <x:f>IF(AND(X$5&gt;='任务与甘特'!$T30,X$5&lt;='任务与甘特'!$U30),"■","")</x:f>
      </x:c>
      <x:c r="Y29" s="56" t="str">
        <x:f>IF(AND(Y$5&gt;='任务与甘特'!$T30,Y$5&lt;='任务与甘特'!$U30),"■","")</x:f>
      </x:c>
      <x:c r="Z29" s="56" t="str">
        <x:f>IF(AND(Z$5&gt;='任务与甘特'!$T30,Z$5&lt;='任务与甘特'!$U30),"■","")</x:f>
      </x:c>
      <x:c r="AA29" s="56" t="str">
        <x:f>IF(AND(AA$5&gt;='任务与甘特'!$T30,AA$5&lt;='任务与甘特'!$U30),"■","")</x:f>
      </x:c>
      <x:c r="AB29" s="56" t="str">
        <x:f>IF(AND(AB$5&gt;='任务与甘特'!$T30,AB$5&lt;='任务与甘特'!$U30),"■","")</x:f>
      </x:c>
      <x:c r="AC29" s="56" t="str">
        <x:f>IF(AND(AC$5&gt;='任务与甘特'!$T30,AC$5&lt;='任务与甘特'!$U30),"■","")</x:f>
      </x:c>
      <x:c r="AD29" s="56" t="str">
        <x:f>IF(AND(AD$5&gt;='任务与甘特'!$T30,AD$5&lt;='任务与甘特'!$U30),"■","")</x:f>
      </x:c>
      <x:c r="AE29" s="56" t="str">
        <x:f>IF(AND(AE$5&gt;='任务与甘特'!$T30,AE$5&lt;='任务与甘特'!$U30),"■","")</x:f>
      </x:c>
      <x:c r="AF29" s="56" t="str">
        <x:f>IF(AND(AF$5&gt;='任务与甘特'!$T30,AF$5&lt;='任务与甘特'!$U30),"■","")</x:f>
      </x:c>
      <x:c r="AG29" s="56" t="str">
        <x:f>IF(AND(AG$5&gt;='任务与甘特'!$T30,AG$5&lt;='任务与甘特'!$U30),"■","")</x:f>
      </x:c>
      <x:c r="AH29" s="56" t="str">
        <x:f>IF(AND(AH$5&gt;='任务与甘特'!$T30,AH$5&lt;='任务与甘特'!$U30),"■","")</x:f>
      </x:c>
      <x:c r="AI29" s="56" t="str">
        <x:f>IF(AND(AI$5&gt;='任务与甘特'!$T30,AI$5&lt;='任务与甘特'!$U30),"■","")</x:f>
      </x:c>
      <x:c r="AJ29" s="56" t="str">
        <x:f>IF(AND(AJ$5&gt;='任务与甘特'!$T30,AJ$5&lt;='任务与甘特'!$U30),"■","")</x:f>
      </x:c>
      <x:c r="AK29" s="56" t="str">
        <x:f>IF(AND(AK$5&gt;='任务与甘特'!$T30,AK$5&lt;='任务与甘特'!$U30),"■","")</x:f>
      </x:c>
      <x:c r="AL29" s="56" t="str">
        <x:f>IF(AND(AL$5&gt;='任务与甘特'!$T30,AL$5&lt;='任务与甘特'!$U30),"■","")</x:f>
      </x:c>
      <x:c r="AM29" s="56" t="str">
        <x:f>IF(AND(AM$5&gt;='任务与甘特'!$T30,AM$5&lt;='任务与甘特'!$U30),"■","")</x:f>
      </x:c>
      <x:c r="AN29" s="56" t="str">
        <x:f>IF(AND(AN$5&gt;='任务与甘特'!$T30,AN$5&lt;='任务与甘特'!$U30),"■","")</x:f>
      </x:c>
      <x:c r="AO29" s="56" t="str">
        <x:f>IF(AND(AO$5&gt;='任务与甘特'!$T30,AO$5&lt;='任务与甘特'!$U30),"■","")</x:f>
      </x:c>
      <x:c r="AP29" s="56" t="str">
        <x:f>IF(AND(AP$5&gt;='任务与甘特'!$T30,AP$5&lt;='任务与甘特'!$U30),"■","")</x:f>
      </x:c>
    </x:row>
    <x:row r="30" ht="38" customHeight="1">
      <x:c r="A30" s="29" t="str">
        <x:f>'任务与甘特'!A31</x:f>
        <x:v>T3.17</x:v>
      </x:c>
      <x:c r="B30" s="29" t="str">
        <x:f>'任务与甘特'!B31</x:f>
        <x:v>实现批次冻结与MOCK交换</x:v>
      </x:c>
      <x:c r="C30" s="56" t="str">
        <x:f>IF(AND(C$5&gt;='任务与甘特'!$T31,C$5&lt;='任务与甘特'!$U31),"■","")</x:f>
      </x:c>
      <x:c r="D30" s="56" t="str">
        <x:f>IF(AND(D$5&gt;='任务与甘特'!$T31,D$5&lt;='任务与甘特'!$U31),"■","")</x:f>
      </x:c>
      <x:c r="E30" s="56" t="str">
        <x:f>IF(AND(E$5&gt;='任务与甘特'!$T31,E$5&lt;='任务与甘特'!$U31),"■","")</x:f>
      </x:c>
      <x:c r="F30" s="56" t="str">
        <x:f>IF(AND(F$5&gt;='任务与甘特'!$T31,F$5&lt;='任务与甘特'!$U31),"■","")</x:f>
      </x:c>
      <x:c r="G30" s="56" t="str">
        <x:f>IF(AND(G$5&gt;='任务与甘特'!$T31,G$5&lt;='任务与甘特'!$U31),"■","")</x:f>
      </x:c>
      <x:c r="H30" s="56" t="str">
        <x:f>IF(AND(H$5&gt;='任务与甘特'!$T31,H$5&lt;='任务与甘特'!$U31),"■","")</x:f>
      </x:c>
      <x:c r="I30" s="56" t="str">
        <x:f>IF(AND(I$5&gt;='任务与甘特'!$T31,I$5&lt;='任务与甘特'!$U31),"■","")</x:f>
      </x:c>
      <x:c r="J30" s="56" t="str">
        <x:f>IF(AND(J$5&gt;='任务与甘特'!$T31,J$5&lt;='任务与甘特'!$U31),"■","")</x:f>
      </x:c>
      <x:c r="K30" s="56" t="str">
        <x:f>IF(AND(K$5&gt;='任务与甘特'!$T31,K$5&lt;='任务与甘特'!$U31),"■","")</x:f>
      </x:c>
      <x:c r="L30" s="56" t="str">
        <x:f>IF(AND(L$5&gt;='任务与甘特'!$T31,L$5&lt;='任务与甘特'!$U31),"■","")</x:f>
      </x:c>
      <x:c r="M30" s="56" t="str">
        <x:f>IF(AND(M$5&gt;='任务与甘特'!$T31,M$5&lt;='任务与甘特'!$U31),"■","")</x:f>
      </x:c>
      <x:c r="N30" s="56" t="str">
        <x:f>IF(AND(N$5&gt;='任务与甘特'!$T31,N$5&lt;='任务与甘特'!$U31),"■","")</x:f>
      </x:c>
      <x:c r="O30" s="56" t="str">
        <x:f>IF(AND(O$5&gt;='任务与甘特'!$T31,O$5&lt;='任务与甘特'!$U31),"■","")</x:f>
      </x:c>
      <x:c r="P30" s="56" t="str">
        <x:f>IF(AND(P$5&gt;='任务与甘特'!$T31,P$5&lt;='任务与甘特'!$U31),"■","")</x:f>
      </x:c>
      <x:c r="Q30" s="56" t="str">
        <x:f>IF(AND(Q$5&gt;='任务与甘特'!$T31,Q$5&lt;='任务与甘特'!$U31),"■","")</x:f>
      </x:c>
      <x:c r="R30" s="56" t="str">
        <x:f>IF(AND(R$5&gt;='任务与甘特'!$T31,R$5&lt;='任务与甘特'!$U31),"■","")</x:f>
      </x:c>
      <x:c r="S30" s="56" t="str">
        <x:f>IF(AND(S$5&gt;='任务与甘特'!$T31,S$5&lt;='任务与甘特'!$U31),"■","")</x:f>
      </x:c>
      <x:c r="T30" s="56" t="str">
        <x:f>IF(AND(T$5&gt;='任务与甘特'!$T31,T$5&lt;='任务与甘特'!$U31),"■","")</x:f>
      </x:c>
      <x:c r="U30" s="56" t="str">
        <x:f>IF(AND(U$5&gt;='任务与甘特'!$T31,U$5&lt;='任务与甘特'!$U31),"■","")</x:f>
        <x:v>■</x:v>
      </x:c>
      <x:c r="V30" s="56" t="str">
        <x:f>IF(AND(V$5&gt;='任务与甘特'!$T31,V$5&lt;='任务与甘特'!$U31),"■","")</x:f>
        <x:v>■</x:v>
      </x:c>
      <x:c r="W30" s="56" t="str">
        <x:f>IF(AND(W$5&gt;='任务与甘特'!$T31,W$5&lt;='任务与甘特'!$U31),"■","")</x:f>
        <x:v>■</x:v>
      </x:c>
      <x:c r="X30" s="56" t="str">
        <x:f>IF(AND(X$5&gt;='任务与甘特'!$T31,X$5&lt;='任务与甘特'!$U31),"■","")</x:f>
      </x:c>
      <x:c r="Y30" s="56" t="str">
        <x:f>IF(AND(Y$5&gt;='任务与甘特'!$T31,Y$5&lt;='任务与甘特'!$U31),"■","")</x:f>
      </x:c>
      <x:c r="Z30" s="56" t="str">
        <x:f>IF(AND(Z$5&gt;='任务与甘特'!$T31,Z$5&lt;='任务与甘特'!$U31),"■","")</x:f>
      </x:c>
      <x:c r="AA30" s="56" t="str">
        <x:f>IF(AND(AA$5&gt;='任务与甘特'!$T31,AA$5&lt;='任务与甘特'!$U31),"■","")</x:f>
      </x:c>
      <x:c r="AB30" s="56" t="str">
        <x:f>IF(AND(AB$5&gt;='任务与甘特'!$T31,AB$5&lt;='任务与甘特'!$U31),"■","")</x:f>
      </x:c>
      <x:c r="AC30" s="56" t="str">
        <x:f>IF(AND(AC$5&gt;='任务与甘特'!$T31,AC$5&lt;='任务与甘特'!$U31),"■","")</x:f>
      </x:c>
      <x:c r="AD30" s="56" t="str">
        <x:f>IF(AND(AD$5&gt;='任务与甘特'!$T31,AD$5&lt;='任务与甘特'!$U31),"■","")</x:f>
      </x:c>
      <x:c r="AE30" s="56" t="str">
        <x:f>IF(AND(AE$5&gt;='任务与甘特'!$T31,AE$5&lt;='任务与甘特'!$U31),"■","")</x:f>
      </x:c>
      <x:c r="AF30" s="56" t="str">
        <x:f>IF(AND(AF$5&gt;='任务与甘特'!$T31,AF$5&lt;='任务与甘特'!$U31),"■","")</x:f>
      </x:c>
      <x:c r="AG30" s="56" t="str">
        <x:f>IF(AND(AG$5&gt;='任务与甘特'!$T31,AG$5&lt;='任务与甘特'!$U31),"■","")</x:f>
      </x:c>
      <x:c r="AH30" s="56" t="str">
        <x:f>IF(AND(AH$5&gt;='任务与甘特'!$T31,AH$5&lt;='任务与甘特'!$U31),"■","")</x:f>
      </x:c>
      <x:c r="AI30" s="56" t="str">
        <x:f>IF(AND(AI$5&gt;='任务与甘特'!$T31,AI$5&lt;='任务与甘特'!$U31),"■","")</x:f>
      </x:c>
      <x:c r="AJ30" s="56" t="str">
        <x:f>IF(AND(AJ$5&gt;='任务与甘特'!$T31,AJ$5&lt;='任务与甘特'!$U31),"■","")</x:f>
      </x:c>
      <x:c r="AK30" s="56" t="str">
        <x:f>IF(AND(AK$5&gt;='任务与甘特'!$T31,AK$5&lt;='任务与甘特'!$U31),"■","")</x:f>
      </x:c>
      <x:c r="AL30" s="56" t="str">
        <x:f>IF(AND(AL$5&gt;='任务与甘特'!$T31,AL$5&lt;='任务与甘特'!$U31),"■","")</x:f>
      </x:c>
      <x:c r="AM30" s="56" t="str">
        <x:f>IF(AND(AM$5&gt;='任务与甘特'!$T31,AM$5&lt;='任务与甘特'!$U31),"■","")</x:f>
      </x:c>
      <x:c r="AN30" s="56" t="str">
        <x:f>IF(AND(AN$5&gt;='任务与甘特'!$T31,AN$5&lt;='任务与甘特'!$U31),"■","")</x:f>
      </x:c>
      <x:c r="AO30" s="56" t="str">
        <x:f>IF(AND(AO$5&gt;='任务与甘特'!$T31,AO$5&lt;='任务与甘特'!$U31),"■","")</x:f>
      </x:c>
      <x:c r="AP30" s="56" t="str">
        <x:f>IF(AND(AP$5&gt;='任务与甘特'!$T31,AP$5&lt;='任务与甘特'!$U31),"■","")</x:f>
      </x:c>
    </x:row>
    <x:row r="31" ht="38" customHeight="1">
      <x:c r="A31" s="29" t="str">
        <x:f>'任务与甘特'!A32</x:f>
        <x:v>T3.18</x:v>
      </x:c>
      <x:c r="B31" s="29" t="str">
        <x:f>'任务与甘特'!B32</x:f>
        <x:v>实现实际REAL协议适配</x:v>
      </x:c>
      <x:c r="C31" s="56" t="str">
        <x:f>IF(AND(C$5&gt;='任务与甘特'!$T32,C$5&lt;='任务与甘特'!$U32),"■","")</x:f>
      </x:c>
      <x:c r="D31" s="56" t="str">
        <x:f>IF(AND(D$5&gt;='任务与甘特'!$T32,D$5&lt;='任务与甘特'!$U32),"■","")</x:f>
      </x:c>
      <x:c r="E31" s="56" t="str">
        <x:f>IF(AND(E$5&gt;='任务与甘特'!$T32,E$5&lt;='任务与甘特'!$U32),"■","")</x:f>
      </x:c>
      <x:c r="F31" s="56" t="str">
        <x:f>IF(AND(F$5&gt;='任务与甘特'!$T32,F$5&lt;='任务与甘特'!$U32),"■","")</x:f>
      </x:c>
      <x:c r="G31" s="56" t="str">
        <x:f>IF(AND(G$5&gt;='任务与甘特'!$T32,G$5&lt;='任务与甘特'!$U32),"■","")</x:f>
      </x:c>
      <x:c r="H31" s="56" t="str">
        <x:f>IF(AND(H$5&gt;='任务与甘特'!$T32,H$5&lt;='任务与甘特'!$U32),"■","")</x:f>
      </x:c>
      <x:c r="I31" s="56" t="str">
        <x:f>IF(AND(I$5&gt;='任务与甘特'!$T32,I$5&lt;='任务与甘特'!$U32),"■","")</x:f>
      </x:c>
      <x:c r="J31" s="56" t="str">
        <x:f>IF(AND(J$5&gt;='任务与甘特'!$T32,J$5&lt;='任务与甘特'!$U32),"■","")</x:f>
      </x:c>
      <x:c r="K31" s="56" t="str">
        <x:f>IF(AND(K$5&gt;='任务与甘特'!$T32,K$5&lt;='任务与甘特'!$U32),"■","")</x:f>
      </x:c>
      <x:c r="L31" s="56" t="str">
        <x:f>IF(AND(L$5&gt;='任务与甘特'!$T32,L$5&lt;='任务与甘特'!$U32),"■","")</x:f>
      </x:c>
      <x:c r="M31" s="56" t="str">
        <x:f>IF(AND(M$5&gt;='任务与甘特'!$T32,M$5&lt;='任务与甘特'!$U32),"■","")</x:f>
      </x:c>
      <x:c r="N31" s="56" t="str">
        <x:f>IF(AND(N$5&gt;='任务与甘特'!$T32,N$5&lt;='任务与甘特'!$U32),"■","")</x:f>
      </x:c>
      <x:c r="O31" s="56" t="str">
        <x:f>IF(AND(O$5&gt;='任务与甘特'!$T32,O$5&lt;='任务与甘特'!$U32),"■","")</x:f>
      </x:c>
      <x:c r="P31" s="56" t="str">
        <x:f>IF(AND(P$5&gt;='任务与甘特'!$T32,P$5&lt;='任务与甘特'!$U32),"■","")</x:f>
      </x:c>
      <x:c r="Q31" s="56" t="str">
        <x:f>IF(AND(Q$5&gt;='任务与甘特'!$T32,Q$5&lt;='任务与甘特'!$U32),"■","")</x:f>
      </x:c>
      <x:c r="R31" s="56" t="str">
        <x:f>IF(AND(R$5&gt;='任务与甘特'!$T32,R$5&lt;='任务与甘特'!$U32),"■","")</x:f>
      </x:c>
      <x:c r="S31" s="56" t="str">
        <x:f>IF(AND(S$5&gt;='任务与甘特'!$T32,S$5&lt;='任务与甘特'!$U32),"■","")</x:f>
      </x:c>
      <x:c r="T31" s="56" t="str">
        <x:f>IF(AND(T$5&gt;='任务与甘特'!$T32,T$5&lt;='任务与甘特'!$U32),"■","")</x:f>
      </x:c>
      <x:c r="U31" s="56" t="str">
        <x:f>IF(AND(U$5&gt;='任务与甘特'!$T32,U$5&lt;='任务与甘特'!$U32),"■","")</x:f>
        <x:v>■</x:v>
      </x:c>
      <x:c r="V31" s="56" t="str">
        <x:f>IF(AND(V$5&gt;='任务与甘特'!$T32,V$5&lt;='任务与甘特'!$U32),"■","")</x:f>
        <x:v>■</x:v>
      </x:c>
      <x:c r="W31" s="56" t="str">
        <x:f>IF(AND(W$5&gt;='任务与甘特'!$T32,W$5&lt;='任务与甘特'!$U32),"■","")</x:f>
        <x:v>■</x:v>
      </x:c>
      <x:c r="X31" s="56" t="str">
        <x:f>IF(AND(X$5&gt;='任务与甘特'!$T32,X$5&lt;='任务与甘特'!$U32),"■","")</x:f>
      </x:c>
      <x:c r="Y31" s="56" t="str">
        <x:f>IF(AND(Y$5&gt;='任务与甘特'!$T32,Y$5&lt;='任务与甘特'!$U32),"■","")</x:f>
      </x:c>
      <x:c r="Z31" s="56" t="str">
        <x:f>IF(AND(Z$5&gt;='任务与甘特'!$T32,Z$5&lt;='任务与甘特'!$U32),"■","")</x:f>
      </x:c>
      <x:c r="AA31" s="56" t="str">
        <x:f>IF(AND(AA$5&gt;='任务与甘特'!$T32,AA$5&lt;='任务与甘特'!$U32),"■","")</x:f>
      </x:c>
      <x:c r="AB31" s="56" t="str">
        <x:f>IF(AND(AB$5&gt;='任务与甘特'!$T32,AB$5&lt;='任务与甘特'!$U32),"■","")</x:f>
      </x:c>
      <x:c r="AC31" s="56" t="str">
        <x:f>IF(AND(AC$5&gt;='任务与甘特'!$T32,AC$5&lt;='任务与甘特'!$U32),"■","")</x:f>
      </x:c>
      <x:c r="AD31" s="56" t="str">
        <x:f>IF(AND(AD$5&gt;='任务与甘特'!$T32,AD$5&lt;='任务与甘特'!$U32),"■","")</x:f>
      </x:c>
      <x:c r="AE31" s="56" t="str">
        <x:f>IF(AND(AE$5&gt;='任务与甘特'!$T32,AE$5&lt;='任务与甘特'!$U32),"■","")</x:f>
      </x:c>
      <x:c r="AF31" s="56" t="str">
        <x:f>IF(AND(AF$5&gt;='任务与甘特'!$T32,AF$5&lt;='任务与甘特'!$U32),"■","")</x:f>
      </x:c>
      <x:c r="AG31" s="56" t="str">
        <x:f>IF(AND(AG$5&gt;='任务与甘特'!$T32,AG$5&lt;='任务与甘特'!$U32),"■","")</x:f>
      </x:c>
      <x:c r="AH31" s="56" t="str">
        <x:f>IF(AND(AH$5&gt;='任务与甘特'!$T32,AH$5&lt;='任务与甘特'!$U32),"■","")</x:f>
      </x:c>
      <x:c r="AI31" s="56" t="str">
        <x:f>IF(AND(AI$5&gt;='任务与甘特'!$T32,AI$5&lt;='任务与甘特'!$U32),"■","")</x:f>
      </x:c>
      <x:c r="AJ31" s="56" t="str">
        <x:f>IF(AND(AJ$5&gt;='任务与甘特'!$T32,AJ$5&lt;='任务与甘特'!$U32),"■","")</x:f>
      </x:c>
      <x:c r="AK31" s="56" t="str">
        <x:f>IF(AND(AK$5&gt;='任务与甘特'!$T32,AK$5&lt;='任务与甘特'!$U32),"■","")</x:f>
      </x:c>
      <x:c r="AL31" s="56" t="str">
        <x:f>IF(AND(AL$5&gt;='任务与甘特'!$T32,AL$5&lt;='任务与甘特'!$U32),"■","")</x:f>
      </x:c>
      <x:c r="AM31" s="56" t="str">
        <x:f>IF(AND(AM$5&gt;='任务与甘特'!$T32,AM$5&lt;='任务与甘特'!$U32),"■","")</x:f>
      </x:c>
      <x:c r="AN31" s="56" t="str">
        <x:f>IF(AND(AN$5&gt;='任务与甘特'!$T32,AN$5&lt;='任务与甘特'!$U32),"■","")</x:f>
      </x:c>
      <x:c r="AO31" s="56" t="str">
        <x:f>IF(AND(AO$5&gt;='任务与甘特'!$T32,AO$5&lt;='任务与甘特'!$U32),"■","")</x:f>
      </x:c>
      <x:c r="AP31" s="56" t="str">
        <x:f>IF(AND(AP$5&gt;='任务与甘特'!$T32,AP$5&lt;='任务与甘特'!$U32),"■","")</x:f>
      </x:c>
    </x:row>
    <x:row r="32" ht="38" customHeight="1">
      <x:c r="A32" s="29" t="str">
        <x:f>'任务与甘特'!A33</x:f>
        <x:v>T3.19</x:v>
      </x:c>
      <x:c r="B32" s="29" t="str">
        <x:f>'任务与甘特'!B33</x:f>
        <x:v>编写配置、部署、备份与回滚</x:v>
      </x:c>
      <x:c r="C32" s="56" t="str">
        <x:f>IF(AND(C$5&gt;='任务与甘特'!$T33,C$5&lt;='任务与甘特'!$U33),"■","")</x:f>
      </x:c>
      <x:c r="D32" s="56" t="str">
        <x:f>IF(AND(D$5&gt;='任务与甘特'!$T33,D$5&lt;='任务与甘特'!$U33),"■","")</x:f>
      </x:c>
      <x:c r="E32" s="56" t="str">
        <x:f>IF(AND(E$5&gt;='任务与甘特'!$T33,E$5&lt;='任务与甘特'!$U33),"■","")</x:f>
      </x:c>
      <x:c r="F32" s="56" t="str">
        <x:f>IF(AND(F$5&gt;='任务与甘特'!$T33,F$5&lt;='任务与甘特'!$U33),"■","")</x:f>
      </x:c>
      <x:c r="G32" s="56" t="str">
        <x:f>IF(AND(G$5&gt;='任务与甘特'!$T33,G$5&lt;='任务与甘特'!$U33),"■","")</x:f>
      </x:c>
      <x:c r="H32" s="56" t="str">
        <x:f>IF(AND(H$5&gt;='任务与甘特'!$T33,H$5&lt;='任务与甘特'!$U33),"■","")</x:f>
      </x:c>
      <x:c r="I32" s="56" t="str">
        <x:f>IF(AND(I$5&gt;='任务与甘特'!$T33,I$5&lt;='任务与甘特'!$U33),"■","")</x:f>
        <x:v>■</x:v>
      </x:c>
      <x:c r="J32" s="56" t="str">
        <x:f>IF(AND(J$5&gt;='任务与甘特'!$T33,J$5&lt;='任务与甘特'!$U33),"■","")</x:f>
        <x:v>■</x:v>
      </x:c>
      <x:c r="K32" s="56" t="str">
        <x:f>IF(AND(K$5&gt;='任务与甘特'!$T33,K$5&lt;='任务与甘特'!$U33),"■","")</x:f>
        <x:v>■</x:v>
      </x:c>
      <x:c r="L32" s="56" t="str">
        <x:f>IF(AND(L$5&gt;='任务与甘特'!$T33,L$5&lt;='任务与甘特'!$U33),"■","")</x:f>
      </x:c>
      <x:c r="M32" s="56" t="str">
        <x:f>IF(AND(M$5&gt;='任务与甘特'!$T33,M$5&lt;='任务与甘特'!$U33),"■","")</x:f>
      </x:c>
      <x:c r="N32" s="56" t="str">
        <x:f>IF(AND(N$5&gt;='任务与甘特'!$T33,N$5&lt;='任务与甘特'!$U33),"■","")</x:f>
      </x:c>
      <x:c r="O32" s="56" t="str">
        <x:f>IF(AND(O$5&gt;='任务与甘特'!$T33,O$5&lt;='任务与甘特'!$U33),"■","")</x:f>
      </x:c>
      <x:c r="P32" s="56" t="str">
        <x:f>IF(AND(P$5&gt;='任务与甘特'!$T33,P$5&lt;='任务与甘特'!$U33),"■","")</x:f>
      </x:c>
      <x:c r="Q32" s="56" t="str">
        <x:f>IF(AND(Q$5&gt;='任务与甘特'!$T33,Q$5&lt;='任务与甘特'!$U33),"■","")</x:f>
      </x:c>
      <x:c r="R32" s="56" t="str">
        <x:f>IF(AND(R$5&gt;='任务与甘特'!$T33,R$5&lt;='任务与甘特'!$U33),"■","")</x:f>
      </x:c>
      <x:c r="S32" s="56" t="str">
        <x:f>IF(AND(S$5&gt;='任务与甘特'!$T33,S$5&lt;='任务与甘特'!$U33),"■","")</x:f>
      </x:c>
      <x:c r="T32" s="56" t="str">
        <x:f>IF(AND(T$5&gt;='任务与甘特'!$T33,T$5&lt;='任务与甘特'!$U33),"■","")</x:f>
      </x:c>
      <x:c r="U32" s="56" t="str">
        <x:f>IF(AND(U$5&gt;='任务与甘特'!$T33,U$5&lt;='任务与甘特'!$U33),"■","")</x:f>
      </x:c>
      <x:c r="V32" s="56" t="str">
        <x:f>IF(AND(V$5&gt;='任务与甘特'!$T33,V$5&lt;='任务与甘特'!$U33),"■","")</x:f>
      </x:c>
      <x:c r="W32" s="56" t="str">
        <x:f>IF(AND(W$5&gt;='任务与甘特'!$T33,W$5&lt;='任务与甘特'!$U33),"■","")</x:f>
      </x:c>
      <x:c r="X32" s="56" t="str">
        <x:f>IF(AND(X$5&gt;='任务与甘特'!$T33,X$5&lt;='任务与甘特'!$U33),"■","")</x:f>
      </x:c>
      <x:c r="Y32" s="56" t="str">
        <x:f>IF(AND(Y$5&gt;='任务与甘特'!$T33,Y$5&lt;='任务与甘特'!$U33),"■","")</x:f>
      </x:c>
      <x:c r="Z32" s="56" t="str">
        <x:f>IF(AND(Z$5&gt;='任务与甘特'!$T33,Z$5&lt;='任务与甘特'!$U33),"■","")</x:f>
      </x:c>
      <x:c r="AA32" s="56" t="str">
        <x:f>IF(AND(AA$5&gt;='任务与甘特'!$T33,AA$5&lt;='任务与甘特'!$U33),"■","")</x:f>
      </x:c>
      <x:c r="AB32" s="56" t="str">
        <x:f>IF(AND(AB$5&gt;='任务与甘特'!$T33,AB$5&lt;='任务与甘特'!$U33),"■","")</x:f>
      </x:c>
      <x:c r="AC32" s="56" t="str">
        <x:f>IF(AND(AC$5&gt;='任务与甘特'!$T33,AC$5&lt;='任务与甘特'!$U33),"■","")</x:f>
      </x:c>
      <x:c r="AD32" s="56" t="str">
        <x:f>IF(AND(AD$5&gt;='任务与甘特'!$T33,AD$5&lt;='任务与甘特'!$U33),"■","")</x:f>
      </x:c>
      <x:c r="AE32" s="56" t="str">
        <x:f>IF(AND(AE$5&gt;='任务与甘特'!$T33,AE$5&lt;='任务与甘特'!$U33),"■","")</x:f>
      </x:c>
      <x:c r="AF32" s="56" t="str">
        <x:f>IF(AND(AF$5&gt;='任务与甘特'!$T33,AF$5&lt;='任务与甘特'!$U33),"■","")</x:f>
      </x:c>
      <x:c r="AG32" s="56" t="str">
        <x:f>IF(AND(AG$5&gt;='任务与甘特'!$T33,AG$5&lt;='任务与甘特'!$U33),"■","")</x:f>
      </x:c>
      <x:c r="AH32" s="56" t="str">
        <x:f>IF(AND(AH$5&gt;='任务与甘特'!$T33,AH$5&lt;='任务与甘特'!$U33),"■","")</x:f>
      </x:c>
      <x:c r="AI32" s="56" t="str">
        <x:f>IF(AND(AI$5&gt;='任务与甘特'!$T33,AI$5&lt;='任务与甘特'!$U33),"■","")</x:f>
      </x:c>
      <x:c r="AJ32" s="56" t="str">
        <x:f>IF(AND(AJ$5&gt;='任务与甘特'!$T33,AJ$5&lt;='任务与甘特'!$U33),"■","")</x:f>
      </x:c>
      <x:c r="AK32" s="56" t="str">
        <x:f>IF(AND(AK$5&gt;='任务与甘特'!$T33,AK$5&lt;='任务与甘特'!$U33),"■","")</x:f>
      </x:c>
      <x:c r="AL32" s="56" t="str">
        <x:f>IF(AND(AL$5&gt;='任务与甘特'!$T33,AL$5&lt;='任务与甘特'!$U33),"■","")</x:f>
      </x:c>
      <x:c r="AM32" s="56" t="str">
        <x:f>IF(AND(AM$5&gt;='任务与甘特'!$T33,AM$5&lt;='任务与甘特'!$U33),"■","")</x:f>
      </x:c>
      <x:c r="AN32" s="56" t="str">
        <x:f>IF(AND(AN$5&gt;='任务与甘特'!$T33,AN$5&lt;='任务与甘特'!$U33),"■","")</x:f>
      </x:c>
      <x:c r="AO32" s="56" t="str">
        <x:f>IF(AND(AO$5&gt;='任务与甘特'!$T33,AO$5&lt;='任务与甘特'!$U33),"■","")</x:f>
      </x:c>
      <x:c r="AP32" s="56" t="str">
        <x:f>IF(AND(AP$5&gt;='任务与甘特'!$T33,AP$5&lt;='任务与甘特'!$U33),"■","")</x:f>
      </x:c>
    </x:row>
    <x:row r="33" ht="38" customHeight="1">
      <x:c r="A33" s="29" t="str">
        <x:f>'任务与甘特'!A34</x:f>
        <x:v>T4.1</x:v>
      </x:c>
      <x:c r="B33" s="29" t="str">
        <x:f>'任务与甘特'!B34</x:f>
        <x:v>评审主业务链阶段成果</x:v>
      </x:c>
      <x:c r="C33" s="56" t="str">
        <x:f>IF(AND(C$5&gt;='任务与甘特'!$T34,C$5&lt;='任务与甘特'!$U34),"■","")</x:f>
      </x:c>
      <x:c r="D33" s="56" t="str">
        <x:f>IF(AND(D$5&gt;='任务与甘特'!$T34,D$5&lt;='任务与甘特'!$U34),"■","")</x:f>
      </x:c>
      <x:c r="E33" s="56" t="str">
        <x:f>IF(AND(E$5&gt;='任务与甘特'!$T34,E$5&lt;='任务与甘特'!$U34),"■","")</x:f>
      </x:c>
      <x:c r="F33" s="56" t="str">
        <x:f>IF(AND(F$5&gt;='任务与甘特'!$T34,F$5&lt;='任务与甘特'!$U34),"■","")</x:f>
      </x:c>
      <x:c r="G33" s="56" t="str">
        <x:f>IF(AND(G$5&gt;='任务与甘特'!$T34,G$5&lt;='任务与甘特'!$U34),"■","")</x:f>
      </x:c>
      <x:c r="H33" s="56" t="str">
        <x:f>IF(AND(H$5&gt;='任务与甘特'!$T34,H$5&lt;='任务与甘特'!$U34),"■","")</x:f>
      </x:c>
      <x:c r="I33" s="56" t="str">
        <x:f>IF(AND(I$5&gt;='任务与甘特'!$T34,I$5&lt;='任务与甘特'!$U34),"■","")</x:f>
      </x:c>
      <x:c r="J33" s="56" t="str">
        <x:f>IF(AND(J$5&gt;='任务与甘特'!$T34,J$5&lt;='任务与甘特'!$U34),"■","")</x:f>
      </x:c>
      <x:c r="K33" s="56" t="str">
        <x:f>IF(AND(K$5&gt;='任务与甘特'!$T34,K$5&lt;='任务与甘特'!$U34),"■","")</x:f>
      </x:c>
      <x:c r="L33" s="56" t="str">
        <x:f>IF(AND(L$5&gt;='任务与甘特'!$T34,L$5&lt;='任务与甘特'!$U34),"■","")</x:f>
      </x:c>
      <x:c r="M33" s="56" t="str">
        <x:f>IF(AND(M$5&gt;='任务与甘特'!$T34,M$5&lt;='任务与甘特'!$U34),"■","")</x:f>
      </x:c>
      <x:c r="N33" s="56" t="str">
        <x:f>IF(AND(N$5&gt;='任务与甘特'!$T34,N$5&lt;='任务与甘特'!$U34),"■","")</x:f>
      </x:c>
      <x:c r="O33" s="56" t="str">
        <x:f>IF(AND(O$5&gt;='任务与甘特'!$T34,O$5&lt;='任务与甘特'!$U34),"■","")</x:f>
      </x:c>
      <x:c r="P33" s="56" t="str">
        <x:f>IF(AND(P$5&gt;='任务与甘特'!$T34,P$5&lt;='任务与甘特'!$U34),"■","")</x:f>
      </x:c>
      <x:c r="Q33" s="56" t="str">
        <x:f>IF(AND(Q$5&gt;='任务与甘特'!$T34,Q$5&lt;='任务与甘特'!$U34),"■","")</x:f>
      </x:c>
      <x:c r="R33" s="56" t="str">
        <x:f>IF(AND(R$5&gt;='任务与甘特'!$T34,R$5&lt;='任务与甘特'!$U34),"■","")</x:f>
      </x:c>
      <x:c r="S33" s="56" t="str">
        <x:f>IF(AND(S$5&gt;='任务与甘特'!$T34,S$5&lt;='任务与甘特'!$U34),"■","")</x:f>
      </x:c>
      <x:c r="T33" s="56" t="str">
        <x:f>IF(AND(T$5&gt;='任务与甘特'!$T34,T$5&lt;='任务与甘特'!$U34),"■","")</x:f>
      </x:c>
      <x:c r="U33" s="56" t="str">
        <x:f>IF(AND(U$5&gt;='任务与甘特'!$T34,U$5&lt;='任务与甘特'!$U34),"■","")</x:f>
      </x:c>
      <x:c r="V33" s="56" t="str">
        <x:f>IF(AND(V$5&gt;='任务与甘特'!$T34,V$5&lt;='任务与甘特'!$U34),"■","")</x:f>
      </x:c>
      <x:c r="W33" s="56" t="str">
        <x:f>IF(AND(W$5&gt;='任务与甘特'!$T34,W$5&lt;='任务与甘特'!$U34),"■","")</x:f>
      </x:c>
      <x:c r="X33" s="56" t="str">
        <x:f>IF(AND(X$5&gt;='任务与甘特'!$T34,X$5&lt;='任务与甘特'!$U34),"■","")</x:f>
      </x:c>
      <x:c r="Y33" s="56" t="str">
        <x:f>IF(AND(Y$5&gt;='任务与甘特'!$T34,Y$5&lt;='任务与甘特'!$U34),"■","")</x:f>
      </x:c>
      <x:c r="Z33" s="56" t="str">
        <x:f>IF(AND(Z$5&gt;='任务与甘特'!$T34,Z$5&lt;='任务与甘特'!$U34),"■","")</x:f>
      </x:c>
      <x:c r="AA33" s="56" t="str">
        <x:f>IF(AND(AA$5&gt;='任务与甘特'!$T34,AA$5&lt;='任务与甘特'!$U34),"■","")</x:f>
        <x:v>■</x:v>
      </x:c>
      <x:c r="AB33" s="56" t="str">
        <x:f>IF(AND(AB$5&gt;='任务与甘特'!$T34,AB$5&lt;='任务与甘特'!$U34),"■","")</x:f>
      </x:c>
      <x:c r="AC33" s="56" t="str">
        <x:f>IF(AND(AC$5&gt;='任务与甘特'!$T34,AC$5&lt;='任务与甘特'!$U34),"■","")</x:f>
      </x:c>
      <x:c r="AD33" s="56" t="str">
        <x:f>IF(AND(AD$5&gt;='任务与甘特'!$T34,AD$5&lt;='任务与甘特'!$U34),"■","")</x:f>
      </x:c>
      <x:c r="AE33" s="56" t="str">
        <x:f>IF(AND(AE$5&gt;='任务与甘特'!$T34,AE$5&lt;='任务与甘特'!$U34),"■","")</x:f>
      </x:c>
      <x:c r="AF33" s="56" t="str">
        <x:f>IF(AND(AF$5&gt;='任务与甘特'!$T34,AF$5&lt;='任务与甘特'!$U34),"■","")</x:f>
      </x:c>
      <x:c r="AG33" s="56" t="str">
        <x:f>IF(AND(AG$5&gt;='任务与甘特'!$T34,AG$5&lt;='任务与甘特'!$U34),"■","")</x:f>
      </x:c>
      <x:c r="AH33" s="56" t="str">
        <x:f>IF(AND(AH$5&gt;='任务与甘特'!$T34,AH$5&lt;='任务与甘特'!$U34),"■","")</x:f>
      </x:c>
      <x:c r="AI33" s="56" t="str">
        <x:f>IF(AND(AI$5&gt;='任务与甘特'!$T34,AI$5&lt;='任务与甘特'!$U34),"■","")</x:f>
      </x:c>
      <x:c r="AJ33" s="56" t="str">
        <x:f>IF(AND(AJ$5&gt;='任务与甘特'!$T34,AJ$5&lt;='任务与甘特'!$U34),"■","")</x:f>
      </x:c>
      <x:c r="AK33" s="56" t="str">
        <x:f>IF(AND(AK$5&gt;='任务与甘特'!$T34,AK$5&lt;='任务与甘特'!$U34),"■","")</x:f>
      </x:c>
      <x:c r="AL33" s="56" t="str">
        <x:f>IF(AND(AL$5&gt;='任务与甘特'!$T34,AL$5&lt;='任务与甘特'!$U34),"■","")</x:f>
      </x:c>
      <x:c r="AM33" s="56" t="str">
        <x:f>IF(AND(AM$5&gt;='任务与甘特'!$T34,AM$5&lt;='任务与甘特'!$U34),"■","")</x:f>
      </x:c>
      <x:c r="AN33" s="56" t="str">
        <x:f>IF(AND(AN$5&gt;='任务与甘特'!$T34,AN$5&lt;='任务与甘特'!$U34),"■","")</x:f>
      </x:c>
      <x:c r="AO33" s="56" t="str">
        <x:f>IF(AND(AO$5&gt;='任务与甘特'!$T34,AO$5&lt;='任务与甘特'!$U34),"■","")</x:f>
      </x:c>
      <x:c r="AP33" s="56" t="str">
        <x:f>IF(AND(AP$5&gt;='任务与甘特'!$T34,AP$5&lt;='任务与甘特'!$U34),"■","")</x:f>
      </x:c>
    </x:row>
    <x:row r="34" ht="38" customHeight="1">
      <x:c r="A34" s="29" t="str">
        <x:f>'任务与甘特'!A35</x:f>
        <x:v>T4.2</x:v>
      </x:c>
      <x:c r="B34" s="29" t="str">
        <x:f>'任务与甘特'!B35</x:f>
        <x:v>完成本地模块集成</x:v>
      </x:c>
      <x:c r="C34" s="56" t="str">
        <x:f>IF(AND(C$5&gt;='任务与甘特'!$T35,C$5&lt;='任务与甘特'!$U35),"■","")</x:f>
      </x:c>
      <x:c r="D34" s="56" t="str">
        <x:f>IF(AND(D$5&gt;='任务与甘特'!$T35,D$5&lt;='任务与甘特'!$U35),"■","")</x:f>
      </x:c>
      <x:c r="E34" s="56" t="str">
        <x:f>IF(AND(E$5&gt;='任务与甘特'!$T35,E$5&lt;='任务与甘特'!$U35),"■","")</x:f>
      </x:c>
      <x:c r="F34" s="56" t="str">
        <x:f>IF(AND(F$5&gt;='任务与甘特'!$T35,F$5&lt;='任务与甘特'!$U35),"■","")</x:f>
      </x:c>
      <x:c r="G34" s="56" t="str">
        <x:f>IF(AND(G$5&gt;='任务与甘特'!$T35,G$5&lt;='任务与甘特'!$U35),"■","")</x:f>
      </x:c>
      <x:c r="H34" s="56" t="str">
        <x:f>IF(AND(H$5&gt;='任务与甘特'!$T35,H$5&lt;='任务与甘特'!$U35),"■","")</x:f>
      </x:c>
      <x:c r="I34" s="56" t="str">
        <x:f>IF(AND(I$5&gt;='任务与甘特'!$T35,I$5&lt;='任务与甘特'!$U35),"■","")</x:f>
      </x:c>
      <x:c r="J34" s="56" t="str">
        <x:f>IF(AND(J$5&gt;='任务与甘特'!$T35,J$5&lt;='任务与甘特'!$U35),"■","")</x:f>
      </x:c>
      <x:c r="K34" s="56" t="str">
        <x:f>IF(AND(K$5&gt;='任务与甘特'!$T35,K$5&lt;='任务与甘特'!$U35),"■","")</x:f>
      </x:c>
      <x:c r="L34" s="56" t="str">
        <x:f>IF(AND(L$5&gt;='任务与甘特'!$T35,L$5&lt;='任务与甘特'!$U35),"■","")</x:f>
      </x:c>
      <x:c r="M34" s="56" t="str">
        <x:f>IF(AND(M$5&gt;='任务与甘特'!$T35,M$5&lt;='任务与甘特'!$U35),"■","")</x:f>
      </x:c>
      <x:c r="N34" s="56" t="str">
        <x:f>IF(AND(N$5&gt;='任务与甘特'!$T35,N$5&lt;='任务与甘特'!$U35),"■","")</x:f>
      </x:c>
      <x:c r="O34" s="56" t="str">
        <x:f>IF(AND(O$5&gt;='任务与甘特'!$T35,O$5&lt;='任务与甘特'!$U35),"■","")</x:f>
      </x:c>
      <x:c r="P34" s="56" t="str">
        <x:f>IF(AND(P$5&gt;='任务与甘特'!$T35,P$5&lt;='任务与甘特'!$U35),"■","")</x:f>
      </x:c>
      <x:c r="Q34" s="56" t="str">
        <x:f>IF(AND(Q$5&gt;='任务与甘特'!$T35,Q$5&lt;='任务与甘特'!$U35),"■","")</x:f>
      </x:c>
      <x:c r="R34" s="56" t="str">
        <x:f>IF(AND(R$5&gt;='任务与甘特'!$T35,R$5&lt;='任务与甘特'!$U35),"■","")</x:f>
      </x:c>
      <x:c r="S34" s="56" t="str">
        <x:f>IF(AND(S$5&gt;='任务与甘特'!$T35,S$5&lt;='任务与甘特'!$U35),"■","")</x:f>
      </x:c>
      <x:c r="T34" s="56" t="str">
        <x:f>IF(AND(T$5&gt;='任务与甘特'!$T35,T$5&lt;='任务与甘特'!$U35),"■","")</x:f>
      </x:c>
      <x:c r="U34" s="56" t="str">
        <x:f>IF(AND(U$5&gt;='任务与甘特'!$T35,U$5&lt;='任务与甘特'!$U35),"■","")</x:f>
      </x:c>
      <x:c r="V34" s="56" t="str">
        <x:f>IF(AND(V$5&gt;='任务与甘特'!$T35,V$5&lt;='任务与甘特'!$U35),"■","")</x:f>
      </x:c>
      <x:c r="W34" s="56" t="str">
        <x:f>IF(AND(W$5&gt;='任务与甘特'!$T35,W$5&lt;='任务与甘特'!$U35),"■","")</x:f>
      </x:c>
      <x:c r="X34" s="56" t="str">
        <x:f>IF(AND(X$5&gt;='任务与甘特'!$T35,X$5&lt;='任务与甘特'!$U35),"■","")</x:f>
      </x:c>
      <x:c r="Y34" s="56" t="str">
        <x:f>IF(AND(Y$5&gt;='任务与甘特'!$T35,Y$5&lt;='任务与甘特'!$U35),"■","")</x:f>
      </x:c>
      <x:c r="Z34" s="56" t="str">
        <x:f>IF(AND(Z$5&gt;='任务与甘特'!$T35,Z$5&lt;='任务与甘特'!$U35),"■","")</x:f>
      </x:c>
      <x:c r="AA34" s="56" t="str">
        <x:f>IF(AND(AA$5&gt;='任务与甘特'!$T35,AA$5&lt;='任务与甘特'!$U35),"■","")</x:f>
      </x:c>
      <x:c r="AB34" s="56" t="str">
        <x:f>IF(AND(AB$5&gt;='任务与甘特'!$T35,AB$5&lt;='任务与甘特'!$U35),"■","")</x:f>
        <x:v>■</x:v>
      </x:c>
      <x:c r="AC34" s="56" t="str">
        <x:f>IF(AND(AC$5&gt;='任务与甘特'!$T35,AC$5&lt;='任务与甘特'!$U35),"■","")</x:f>
        <x:v>■</x:v>
      </x:c>
      <x:c r="AD34" s="56" t="str">
        <x:f>IF(AND(AD$5&gt;='任务与甘特'!$T35,AD$5&lt;='任务与甘特'!$U35),"■","")</x:f>
      </x:c>
      <x:c r="AE34" s="56" t="str">
        <x:f>IF(AND(AE$5&gt;='任务与甘特'!$T35,AE$5&lt;='任务与甘特'!$U35),"■","")</x:f>
      </x:c>
      <x:c r="AF34" s="56" t="str">
        <x:f>IF(AND(AF$5&gt;='任务与甘特'!$T35,AF$5&lt;='任务与甘特'!$U35),"■","")</x:f>
      </x:c>
      <x:c r="AG34" s="56" t="str">
        <x:f>IF(AND(AG$5&gt;='任务与甘特'!$T35,AG$5&lt;='任务与甘特'!$U35),"■","")</x:f>
      </x:c>
      <x:c r="AH34" s="56" t="str">
        <x:f>IF(AND(AH$5&gt;='任务与甘特'!$T35,AH$5&lt;='任务与甘特'!$U35),"■","")</x:f>
      </x:c>
      <x:c r="AI34" s="56" t="str">
        <x:f>IF(AND(AI$5&gt;='任务与甘特'!$T35,AI$5&lt;='任务与甘特'!$U35),"■","")</x:f>
      </x:c>
      <x:c r="AJ34" s="56" t="str">
        <x:f>IF(AND(AJ$5&gt;='任务与甘特'!$T35,AJ$5&lt;='任务与甘特'!$U35),"■","")</x:f>
      </x:c>
      <x:c r="AK34" s="56" t="str">
        <x:f>IF(AND(AK$5&gt;='任务与甘特'!$T35,AK$5&lt;='任务与甘特'!$U35),"■","")</x:f>
      </x:c>
      <x:c r="AL34" s="56" t="str">
        <x:f>IF(AND(AL$5&gt;='任务与甘特'!$T35,AL$5&lt;='任务与甘特'!$U35),"■","")</x:f>
      </x:c>
      <x:c r="AM34" s="56" t="str">
        <x:f>IF(AND(AM$5&gt;='任务与甘特'!$T35,AM$5&lt;='任务与甘特'!$U35),"■","")</x:f>
      </x:c>
      <x:c r="AN34" s="56" t="str">
        <x:f>IF(AND(AN$5&gt;='任务与甘特'!$T35,AN$5&lt;='任务与甘特'!$U35),"■","")</x:f>
      </x:c>
      <x:c r="AO34" s="56" t="str">
        <x:f>IF(AND(AO$5&gt;='任务与甘特'!$T35,AO$5&lt;='任务与甘特'!$U35),"■","")</x:f>
      </x:c>
      <x:c r="AP34" s="56" t="str">
        <x:f>IF(AND(AP$5&gt;='任务与甘特'!$T35,AP$5&lt;='任务与甘特'!$U35),"■","")</x:f>
      </x:c>
    </x:row>
    <x:row r="35" ht="38" customHeight="1">
      <x:c r="A35" s="29" t="str">
        <x:f>'任务与甘特'!A36</x:f>
        <x:v>T4.3</x:v>
      </x:c>
      <x:c r="B35" s="29" t="str">
        <x:f>'任务与甘特'!B36</x:f>
        <x:v>执行业务功能与边界测试</x:v>
      </x:c>
      <x:c r="C35" s="56" t="str">
        <x:f>IF(AND(C$5&gt;='任务与甘特'!$T36,C$5&lt;='任务与甘特'!$U36),"■","")</x:f>
      </x:c>
      <x:c r="D35" s="56" t="str">
        <x:f>IF(AND(D$5&gt;='任务与甘特'!$T36,D$5&lt;='任务与甘特'!$U36),"■","")</x:f>
      </x:c>
      <x:c r="E35" s="56" t="str">
        <x:f>IF(AND(E$5&gt;='任务与甘特'!$T36,E$5&lt;='任务与甘特'!$U36),"■","")</x:f>
      </x:c>
      <x:c r="F35" s="56" t="str">
        <x:f>IF(AND(F$5&gt;='任务与甘特'!$T36,F$5&lt;='任务与甘特'!$U36),"■","")</x:f>
      </x:c>
      <x:c r="G35" s="56" t="str">
        <x:f>IF(AND(G$5&gt;='任务与甘特'!$T36,G$5&lt;='任务与甘特'!$U36),"■","")</x:f>
      </x:c>
      <x:c r="H35" s="56" t="str">
        <x:f>IF(AND(H$5&gt;='任务与甘特'!$T36,H$5&lt;='任务与甘特'!$U36),"■","")</x:f>
      </x:c>
      <x:c r="I35" s="56" t="str">
        <x:f>IF(AND(I$5&gt;='任务与甘特'!$T36,I$5&lt;='任务与甘特'!$U36),"■","")</x:f>
      </x:c>
      <x:c r="J35" s="56" t="str">
        <x:f>IF(AND(J$5&gt;='任务与甘特'!$T36,J$5&lt;='任务与甘特'!$U36),"■","")</x:f>
      </x:c>
      <x:c r="K35" s="56" t="str">
        <x:f>IF(AND(K$5&gt;='任务与甘特'!$T36,K$5&lt;='任务与甘特'!$U36),"■","")</x:f>
      </x:c>
      <x:c r="L35" s="56" t="str">
        <x:f>IF(AND(L$5&gt;='任务与甘特'!$T36,L$5&lt;='任务与甘特'!$U36),"■","")</x:f>
      </x:c>
      <x:c r="M35" s="56" t="str">
        <x:f>IF(AND(M$5&gt;='任务与甘特'!$T36,M$5&lt;='任务与甘特'!$U36),"■","")</x:f>
      </x:c>
      <x:c r="N35" s="56" t="str">
        <x:f>IF(AND(N$5&gt;='任务与甘特'!$T36,N$5&lt;='任务与甘特'!$U36),"■","")</x:f>
      </x:c>
      <x:c r="O35" s="56" t="str">
        <x:f>IF(AND(O$5&gt;='任务与甘特'!$T36,O$5&lt;='任务与甘特'!$U36),"■","")</x:f>
      </x:c>
      <x:c r="P35" s="56" t="str">
        <x:f>IF(AND(P$5&gt;='任务与甘特'!$T36,P$5&lt;='任务与甘特'!$U36),"■","")</x:f>
      </x:c>
      <x:c r="Q35" s="56" t="str">
        <x:f>IF(AND(Q$5&gt;='任务与甘特'!$T36,Q$5&lt;='任务与甘特'!$U36),"■","")</x:f>
      </x:c>
      <x:c r="R35" s="56" t="str">
        <x:f>IF(AND(R$5&gt;='任务与甘特'!$T36,R$5&lt;='任务与甘特'!$U36),"■","")</x:f>
      </x:c>
      <x:c r="S35" s="56" t="str">
        <x:f>IF(AND(S$5&gt;='任务与甘特'!$T36,S$5&lt;='任务与甘特'!$U36),"■","")</x:f>
      </x:c>
      <x:c r="T35" s="56" t="str">
        <x:f>IF(AND(T$5&gt;='任务与甘特'!$T36,T$5&lt;='任务与甘特'!$U36),"■","")</x:f>
      </x:c>
      <x:c r="U35" s="56" t="str">
        <x:f>IF(AND(U$5&gt;='任务与甘特'!$T36,U$5&lt;='任务与甘特'!$U36),"■","")</x:f>
      </x:c>
      <x:c r="V35" s="56" t="str">
        <x:f>IF(AND(V$5&gt;='任务与甘特'!$T36,V$5&lt;='任务与甘特'!$U36),"■","")</x:f>
      </x:c>
      <x:c r="W35" s="56" t="str">
        <x:f>IF(AND(W$5&gt;='任务与甘特'!$T36,W$5&lt;='任务与甘特'!$U36),"■","")</x:f>
      </x:c>
      <x:c r="X35" s="56" t="str">
        <x:f>IF(AND(X$5&gt;='任务与甘特'!$T36,X$5&lt;='任务与甘特'!$U36),"■","")</x:f>
      </x:c>
      <x:c r="Y35" s="56" t="str">
        <x:f>IF(AND(Y$5&gt;='任务与甘特'!$T36,Y$5&lt;='任务与甘特'!$U36),"■","")</x:f>
      </x:c>
      <x:c r="Z35" s="56" t="str">
        <x:f>IF(AND(Z$5&gt;='任务与甘特'!$T36,Z$5&lt;='任务与甘特'!$U36),"■","")</x:f>
      </x:c>
      <x:c r="AA35" s="56" t="str">
        <x:f>IF(AND(AA$5&gt;='任务与甘特'!$T36,AA$5&lt;='任务与甘特'!$U36),"■","")</x:f>
      </x:c>
      <x:c r="AB35" s="56" t="str">
        <x:f>IF(AND(AB$5&gt;='任务与甘特'!$T36,AB$5&lt;='任务与甘特'!$U36),"■","")</x:f>
      </x:c>
      <x:c r="AC35" s="56" t="str">
        <x:f>IF(AND(AC$5&gt;='任务与甘特'!$T36,AC$5&lt;='任务与甘特'!$U36),"■","")</x:f>
      </x:c>
      <x:c r="AD35" s="56" t="str">
        <x:f>IF(AND(AD$5&gt;='任务与甘特'!$T36,AD$5&lt;='任务与甘特'!$U36),"■","")</x:f>
      </x:c>
      <x:c r="AE35" s="56" t="str">
        <x:f>IF(AND(AE$5&gt;='任务与甘特'!$T36,AE$5&lt;='任务与甘特'!$U36),"■","")</x:f>
      </x:c>
      <x:c r="AF35" s="56" t="str">
        <x:f>IF(AND(AF$5&gt;='任务与甘特'!$T36,AF$5&lt;='任务与甘特'!$U36),"■","")</x:f>
      </x:c>
      <x:c r="AG35" s="56" t="str">
        <x:f>IF(AND(AG$5&gt;='任务与甘特'!$T36,AG$5&lt;='任务与甘特'!$U36),"■","")</x:f>
        <x:v>■</x:v>
      </x:c>
      <x:c r="AH35" s="56" t="str">
        <x:f>IF(AND(AH$5&gt;='任务与甘特'!$T36,AH$5&lt;='任务与甘特'!$U36),"■","")</x:f>
        <x:v>■</x:v>
      </x:c>
      <x:c r="AI35" s="56" t="str">
        <x:f>IF(AND(AI$5&gt;='任务与甘特'!$T36,AI$5&lt;='任务与甘特'!$U36),"■","")</x:f>
        <x:v>■</x:v>
      </x:c>
      <x:c r="AJ35" s="56" t="str">
        <x:f>IF(AND(AJ$5&gt;='任务与甘特'!$T36,AJ$5&lt;='任务与甘特'!$U36),"■","")</x:f>
      </x:c>
      <x:c r="AK35" s="56" t="str">
        <x:f>IF(AND(AK$5&gt;='任务与甘特'!$T36,AK$5&lt;='任务与甘特'!$U36),"■","")</x:f>
      </x:c>
      <x:c r="AL35" s="56" t="str">
        <x:f>IF(AND(AL$5&gt;='任务与甘特'!$T36,AL$5&lt;='任务与甘特'!$U36),"■","")</x:f>
      </x:c>
      <x:c r="AM35" s="56" t="str">
        <x:f>IF(AND(AM$5&gt;='任务与甘特'!$T36,AM$5&lt;='任务与甘特'!$U36),"■","")</x:f>
      </x:c>
      <x:c r="AN35" s="56" t="str">
        <x:f>IF(AND(AN$5&gt;='任务与甘特'!$T36,AN$5&lt;='任务与甘特'!$U36),"■","")</x:f>
      </x:c>
      <x:c r="AO35" s="56" t="str">
        <x:f>IF(AND(AO$5&gt;='任务与甘特'!$T36,AO$5&lt;='任务与甘特'!$U36),"■","")</x:f>
      </x:c>
      <x:c r="AP35" s="56" t="str">
        <x:f>IF(AND(AP$5&gt;='任务与甘特'!$T36,AP$5&lt;='任务与甘特'!$U36),"■","")</x:f>
      </x:c>
    </x:row>
    <x:row r="36" ht="38" customHeight="1">
      <x:c r="A36" s="29" t="str">
        <x:f>'任务与甘特'!A37</x:f>
        <x:v>T4.4</x:v>
      </x:c>
      <x:c r="B36" s="29" t="str">
        <x:f>'任务与甘特'!B37</x:f>
        <x:v>验证MOCK回执与黄金摘要</x:v>
      </x:c>
      <x:c r="C36" s="56" t="str">
        <x:f>IF(AND(C$5&gt;='任务与甘特'!$T37,C$5&lt;='任务与甘特'!$U37),"■","")</x:f>
      </x:c>
      <x:c r="D36" s="56" t="str">
        <x:f>IF(AND(D$5&gt;='任务与甘特'!$T37,D$5&lt;='任务与甘特'!$U37),"■","")</x:f>
      </x:c>
      <x:c r="E36" s="56" t="str">
        <x:f>IF(AND(E$5&gt;='任务与甘特'!$T37,E$5&lt;='任务与甘特'!$U37),"■","")</x:f>
      </x:c>
      <x:c r="F36" s="56" t="str">
        <x:f>IF(AND(F$5&gt;='任务与甘特'!$T37,F$5&lt;='任务与甘特'!$U37),"■","")</x:f>
      </x:c>
      <x:c r="G36" s="56" t="str">
        <x:f>IF(AND(G$5&gt;='任务与甘特'!$T37,G$5&lt;='任务与甘特'!$U37),"■","")</x:f>
      </x:c>
      <x:c r="H36" s="56" t="str">
        <x:f>IF(AND(H$5&gt;='任务与甘特'!$T37,H$5&lt;='任务与甘特'!$U37),"■","")</x:f>
      </x:c>
      <x:c r="I36" s="56" t="str">
        <x:f>IF(AND(I$5&gt;='任务与甘特'!$T37,I$5&lt;='任务与甘特'!$U37),"■","")</x:f>
      </x:c>
      <x:c r="J36" s="56" t="str">
        <x:f>IF(AND(J$5&gt;='任务与甘特'!$T37,J$5&lt;='任务与甘特'!$U37),"■","")</x:f>
      </x:c>
      <x:c r="K36" s="56" t="str">
        <x:f>IF(AND(K$5&gt;='任务与甘特'!$T37,K$5&lt;='任务与甘特'!$U37),"■","")</x:f>
      </x:c>
      <x:c r="L36" s="56" t="str">
        <x:f>IF(AND(L$5&gt;='任务与甘特'!$T37,L$5&lt;='任务与甘特'!$U37),"■","")</x:f>
      </x:c>
      <x:c r="M36" s="56" t="str">
        <x:f>IF(AND(M$5&gt;='任务与甘特'!$T37,M$5&lt;='任务与甘特'!$U37),"■","")</x:f>
      </x:c>
      <x:c r="N36" s="56" t="str">
        <x:f>IF(AND(N$5&gt;='任务与甘特'!$T37,N$5&lt;='任务与甘特'!$U37),"■","")</x:f>
      </x:c>
      <x:c r="O36" s="56" t="str">
        <x:f>IF(AND(O$5&gt;='任务与甘特'!$T37,O$5&lt;='任务与甘特'!$U37),"■","")</x:f>
      </x:c>
      <x:c r="P36" s="56" t="str">
        <x:f>IF(AND(P$5&gt;='任务与甘特'!$T37,P$5&lt;='任务与甘特'!$U37),"■","")</x:f>
      </x:c>
      <x:c r="Q36" s="56" t="str">
        <x:f>IF(AND(Q$5&gt;='任务与甘特'!$T37,Q$5&lt;='任务与甘特'!$U37),"■","")</x:f>
      </x:c>
      <x:c r="R36" s="56" t="str">
        <x:f>IF(AND(R$5&gt;='任务与甘特'!$T37,R$5&lt;='任务与甘特'!$U37),"■","")</x:f>
      </x:c>
      <x:c r="S36" s="56" t="str">
        <x:f>IF(AND(S$5&gt;='任务与甘特'!$T37,S$5&lt;='任务与甘特'!$U37),"■","")</x:f>
      </x:c>
      <x:c r="T36" s="56" t="str">
        <x:f>IF(AND(T$5&gt;='任务与甘特'!$T37,T$5&lt;='任务与甘特'!$U37),"■","")</x:f>
      </x:c>
      <x:c r="U36" s="56" t="str">
        <x:f>IF(AND(U$5&gt;='任务与甘特'!$T37,U$5&lt;='任务与甘特'!$U37),"■","")</x:f>
      </x:c>
      <x:c r="V36" s="56" t="str">
        <x:f>IF(AND(V$5&gt;='任务与甘特'!$T37,V$5&lt;='任务与甘特'!$U37),"■","")</x:f>
      </x:c>
      <x:c r="W36" s="56" t="str">
        <x:f>IF(AND(W$5&gt;='任务与甘特'!$T37,W$5&lt;='任务与甘特'!$U37),"■","")</x:f>
      </x:c>
      <x:c r="X36" s="56" t="str">
        <x:f>IF(AND(X$5&gt;='任务与甘特'!$T37,X$5&lt;='任务与甘特'!$U37),"■","")</x:f>
        <x:v>■</x:v>
      </x:c>
      <x:c r="Y36" s="56" t="str">
        <x:f>IF(AND(Y$5&gt;='任务与甘特'!$T37,Y$5&lt;='任务与甘特'!$U37),"■","")</x:f>
        <x:v>■</x:v>
      </x:c>
      <x:c r="Z36" s="56" t="str">
        <x:f>IF(AND(Z$5&gt;='任务与甘特'!$T37,Z$5&lt;='任务与甘特'!$U37),"■","")</x:f>
      </x:c>
      <x:c r="AA36" s="56" t="str">
        <x:f>IF(AND(AA$5&gt;='任务与甘特'!$T37,AA$5&lt;='任务与甘特'!$U37),"■","")</x:f>
      </x:c>
      <x:c r="AB36" s="56" t="str">
        <x:f>IF(AND(AB$5&gt;='任务与甘特'!$T37,AB$5&lt;='任务与甘特'!$U37),"■","")</x:f>
      </x:c>
      <x:c r="AC36" s="56" t="str">
        <x:f>IF(AND(AC$5&gt;='任务与甘特'!$T37,AC$5&lt;='任务与甘特'!$U37),"■","")</x:f>
      </x:c>
      <x:c r="AD36" s="56" t="str">
        <x:f>IF(AND(AD$5&gt;='任务与甘特'!$T37,AD$5&lt;='任务与甘特'!$U37),"■","")</x:f>
      </x:c>
      <x:c r="AE36" s="56" t="str">
        <x:f>IF(AND(AE$5&gt;='任务与甘特'!$T37,AE$5&lt;='任务与甘特'!$U37),"■","")</x:f>
      </x:c>
      <x:c r="AF36" s="56" t="str">
        <x:f>IF(AND(AF$5&gt;='任务与甘特'!$T37,AF$5&lt;='任务与甘特'!$U37),"■","")</x:f>
      </x:c>
      <x:c r="AG36" s="56" t="str">
        <x:f>IF(AND(AG$5&gt;='任务与甘特'!$T37,AG$5&lt;='任务与甘特'!$U37),"■","")</x:f>
      </x:c>
      <x:c r="AH36" s="56" t="str">
        <x:f>IF(AND(AH$5&gt;='任务与甘特'!$T37,AH$5&lt;='任务与甘特'!$U37),"■","")</x:f>
      </x:c>
      <x:c r="AI36" s="56" t="str">
        <x:f>IF(AND(AI$5&gt;='任务与甘特'!$T37,AI$5&lt;='任务与甘特'!$U37),"■","")</x:f>
      </x:c>
      <x:c r="AJ36" s="56" t="str">
        <x:f>IF(AND(AJ$5&gt;='任务与甘特'!$T37,AJ$5&lt;='任务与甘特'!$U37),"■","")</x:f>
      </x:c>
      <x:c r="AK36" s="56" t="str">
        <x:f>IF(AND(AK$5&gt;='任务与甘特'!$T37,AK$5&lt;='任务与甘特'!$U37),"■","")</x:f>
      </x:c>
      <x:c r="AL36" s="56" t="str">
        <x:f>IF(AND(AL$5&gt;='任务与甘特'!$T37,AL$5&lt;='任务与甘特'!$U37),"■","")</x:f>
      </x:c>
      <x:c r="AM36" s="56" t="str">
        <x:f>IF(AND(AM$5&gt;='任务与甘特'!$T37,AM$5&lt;='任务与甘特'!$U37),"■","")</x:f>
      </x:c>
      <x:c r="AN36" s="56" t="str">
        <x:f>IF(AND(AN$5&gt;='任务与甘特'!$T37,AN$5&lt;='任务与甘特'!$U37),"■","")</x:f>
      </x:c>
      <x:c r="AO36" s="56" t="str">
        <x:f>IF(AND(AO$5&gt;='任务与甘特'!$T37,AO$5&lt;='任务与甘特'!$U37),"■","")</x:f>
      </x:c>
      <x:c r="AP36" s="56" t="str">
        <x:f>IF(AND(AP$5&gt;='任务与甘特'!$T37,AP$5&lt;='任务与甘特'!$U37),"■","")</x:f>
      </x:c>
    </x:row>
    <x:row r="37" ht="38" customHeight="1">
      <x:c r="A37" s="29" t="str">
        <x:f>'任务与甘特'!A38</x:f>
        <x:v>T4.5</x:v>
      </x:c>
      <x:c r="B37" s="29" t="str">
        <x:f>'任务与甘特'!B38</x:f>
        <x:v>完成实际国家交换验证</x:v>
      </x:c>
      <x:c r="C37" s="56" t="str">
        <x:f>IF(AND(C$5&gt;='任务与甘特'!$T38,C$5&lt;='任务与甘特'!$U38),"■","")</x:f>
      </x:c>
      <x:c r="D37" s="56" t="str">
        <x:f>IF(AND(D$5&gt;='任务与甘特'!$T38,D$5&lt;='任务与甘特'!$U38),"■","")</x:f>
      </x:c>
      <x:c r="E37" s="56" t="str">
        <x:f>IF(AND(E$5&gt;='任务与甘特'!$T38,E$5&lt;='任务与甘特'!$U38),"■","")</x:f>
      </x:c>
      <x:c r="F37" s="56" t="str">
        <x:f>IF(AND(F$5&gt;='任务与甘特'!$T38,F$5&lt;='任务与甘特'!$U38),"■","")</x:f>
      </x:c>
      <x:c r="G37" s="56" t="str">
        <x:f>IF(AND(G$5&gt;='任务与甘特'!$T38,G$5&lt;='任务与甘特'!$U38),"■","")</x:f>
      </x:c>
      <x:c r="H37" s="56" t="str">
        <x:f>IF(AND(H$5&gt;='任务与甘特'!$T38,H$5&lt;='任务与甘特'!$U38),"■","")</x:f>
      </x:c>
      <x:c r="I37" s="56" t="str">
        <x:f>IF(AND(I$5&gt;='任务与甘特'!$T38,I$5&lt;='任务与甘特'!$U38),"■","")</x:f>
      </x:c>
      <x:c r="J37" s="56" t="str">
        <x:f>IF(AND(J$5&gt;='任务与甘特'!$T38,J$5&lt;='任务与甘特'!$U38),"■","")</x:f>
      </x:c>
      <x:c r="K37" s="56" t="str">
        <x:f>IF(AND(K$5&gt;='任务与甘特'!$T38,K$5&lt;='任务与甘特'!$U38),"■","")</x:f>
      </x:c>
      <x:c r="L37" s="56" t="str">
        <x:f>IF(AND(L$5&gt;='任务与甘特'!$T38,L$5&lt;='任务与甘特'!$U38),"■","")</x:f>
      </x:c>
      <x:c r="M37" s="56" t="str">
        <x:f>IF(AND(M$5&gt;='任务与甘特'!$T38,M$5&lt;='任务与甘特'!$U38),"■","")</x:f>
      </x:c>
      <x:c r="N37" s="56" t="str">
        <x:f>IF(AND(N$5&gt;='任务与甘特'!$T38,N$5&lt;='任务与甘特'!$U38),"■","")</x:f>
      </x:c>
      <x:c r="O37" s="56" t="str">
        <x:f>IF(AND(O$5&gt;='任务与甘特'!$T38,O$5&lt;='任务与甘特'!$U38),"■","")</x:f>
      </x:c>
      <x:c r="P37" s="56" t="str">
        <x:f>IF(AND(P$5&gt;='任务与甘特'!$T38,P$5&lt;='任务与甘特'!$U38),"■","")</x:f>
      </x:c>
      <x:c r="Q37" s="56" t="str">
        <x:f>IF(AND(Q$5&gt;='任务与甘特'!$T38,Q$5&lt;='任务与甘特'!$U38),"■","")</x:f>
      </x:c>
      <x:c r="R37" s="56" t="str">
        <x:f>IF(AND(R$5&gt;='任务与甘特'!$T38,R$5&lt;='任务与甘特'!$U38),"■","")</x:f>
      </x:c>
      <x:c r="S37" s="56" t="str">
        <x:f>IF(AND(S$5&gt;='任务与甘特'!$T38,S$5&lt;='任务与甘特'!$U38),"■","")</x:f>
      </x:c>
      <x:c r="T37" s="56" t="str">
        <x:f>IF(AND(T$5&gt;='任务与甘特'!$T38,T$5&lt;='任务与甘特'!$U38),"■","")</x:f>
      </x:c>
      <x:c r="U37" s="56" t="str">
        <x:f>IF(AND(U$5&gt;='任务与甘特'!$T38,U$5&lt;='任务与甘特'!$U38),"■","")</x:f>
      </x:c>
      <x:c r="V37" s="56" t="str">
        <x:f>IF(AND(V$5&gt;='任务与甘特'!$T38,V$5&lt;='任务与甘特'!$U38),"■","")</x:f>
      </x:c>
      <x:c r="W37" s="56" t="str">
        <x:f>IF(AND(W$5&gt;='任务与甘特'!$T38,W$5&lt;='任务与甘特'!$U38),"■","")</x:f>
      </x:c>
      <x:c r="X37" s="56" t="str">
        <x:f>IF(AND(X$5&gt;='任务与甘特'!$T38,X$5&lt;='任务与甘特'!$U38),"■","")</x:f>
      </x:c>
      <x:c r="Y37" s="56" t="str">
        <x:f>IF(AND(Y$5&gt;='任务与甘特'!$T38,Y$5&lt;='任务与甘特'!$U38),"■","")</x:f>
      </x:c>
      <x:c r="Z37" s="56" t="str">
        <x:f>IF(AND(Z$5&gt;='任务与甘特'!$T38,Z$5&lt;='任务与甘特'!$U38),"■","")</x:f>
        <x:v>■</x:v>
      </x:c>
      <x:c r="AA37" s="56" t="str">
        <x:f>IF(AND(AA$5&gt;='任务与甘特'!$T38,AA$5&lt;='任务与甘特'!$U38),"■","")</x:f>
        <x:v>■</x:v>
      </x:c>
      <x:c r="AB37" s="56" t="str">
        <x:f>IF(AND(AB$5&gt;='任务与甘特'!$T38,AB$5&lt;='任务与甘特'!$U38),"■","")</x:f>
      </x:c>
      <x:c r="AC37" s="56" t="str">
        <x:f>IF(AND(AC$5&gt;='任务与甘特'!$T38,AC$5&lt;='任务与甘特'!$U38),"■","")</x:f>
      </x:c>
      <x:c r="AD37" s="56" t="str">
        <x:f>IF(AND(AD$5&gt;='任务与甘特'!$T38,AD$5&lt;='任务与甘特'!$U38),"■","")</x:f>
      </x:c>
      <x:c r="AE37" s="56" t="str">
        <x:f>IF(AND(AE$5&gt;='任务与甘特'!$T38,AE$5&lt;='任务与甘特'!$U38),"■","")</x:f>
      </x:c>
      <x:c r="AF37" s="56" t="str">
        <x:f>IF(AND(AF$5&gt;='任务与甘特'!$T38,AF$5&lt;='任务与甘特'!$U38),"■","")</x:f>
      </x:c>
      <x:c r="AG37" s="56" t="str">
        <x:f>IF(AND(AG$5&gt;='任务与甘特'!$T38,AG$5&lt;='任务与甘特'!$U38),"■","")</x:f>
      </x:c>
      <x:c r="AH37" s="56" t="str">
        <x:f>IF(AND(AH$5&gt;='任务与甘特'!$T38,AH$5&lt;='任务与甘特'!$U38),"■","")</x:f>
      </x:c>
      <x:c r="AI37" s="56" t="str">
        <x:f>IF(AND(AI$5&gt;='任务与甘特'!$T38,AI$5&lt;='任务与甘特'!$U38),"■","")</x:f>
      </x:c>
      <x:c r="AJ37" s="56" t="str">
        <x:f>IF(AND(AJ$5&gt;='任务与甘特'!$T38,AJ$5&lt;='任务与甘特'!$U38),"■","")</x:f>
      </x:c>
      <x:c r="AK37" s="56" t="str">
        <x:f>IF(AND(AK$5&gt;='任务与甘特'!$T38,AK$5&lt;='任务与甘特'!$U38),"■","")</x:f>
      </x:c>
      <x:c r="AL37" s="56" t="str">
        <x:f>IF(AND(AL$5&gt;='任务与甘特'!$T38,AL$5&lt;='任务与甘特'!$U38),"■","")</x:f>
      </x:c>
      <x:c r="AM37" s="56" t="str">
        <x:f>IF(AND(AM$5&gt;='任务与甘特'!$T38,AM$5&lt;='任务与甘特'!$U38),"■","")</x:f>
      </x:c>
      <x:c r="AN37" s="56" t="str">
        <x:f>IF(AND(AN$5&gt;='任务与甘特'!$T38,AN$5&lt;='任务与甘特'!$U38),"■","")</x:f>
      </x:c>
      <x:c r="AO37" s="56" t="str">
        <x:f>IF(AND(AO$5&gt;='任务与甘特'!$T38,AO$5&lt;='任务与甘特'!$U38),"■","")</x:f>
      </x:c>
      <x:c r="AP37" s="56" t="str">
        <x:f>IF(AND(AP$5&gt;='任务与甘特'!$T38,AP$5&lt;='任务与甘特'!$U38),"■","")</x:f>
      </x:c>
    </x:row>
    <x:row r="38" ht="38" customHeight="1">
      <x:c r="A38" s="29" t="str">
        <x:f>'任务与甘特'!A39</x:f>
        <x:v>T4.6</x:v>
      </x:c>
      <x:c r="B38" s="29" t="str">
        <x:f>'任务与甘特'!B39</x:f>
        <x:v>验证安全、认证和并发一致性</x:v>
      </x:c>
      <x:c r="C38" s="56" t="str">
        <x:f>IF(AND(C$5&gt;='任务与甘特'!$T39,C$5&lt;='任务与甘特'!$U39),"■","")</x:f>
      </x:c>
      <x:c r="D38" s="56" t="str">
        <x:f>IF(AND(D$5&gt;='任务与甘特'!$T39,D$5&lt;='任务与甘特'!$U39),"■","")</x:f>
      </x:c>
      <x:c r="E38" s="56" t="str">
        <x:f>IF(AND(E$5&gt;='任务与甘特'!$T39,E$5&lt;='任务与甘特'!$U39),"■","")</x:f>
      </x:c>
      <x:c r="F38" s="56" t="str">
        <x:f>IF(AND(F$5&gt;='任务与甘特'!$T39,F$5&lt;='任务与甘特'!$U39),"■","")</x:f>
      </x:c>
      <x:c r="G38" s="56" t="str">
        <x:f>IF(AND(G$5&gt;='任务与甘特'!$T39,G$5&lt;='任务与甘特'!$U39),"■","")</x:f>
      </x:c>
      <x:c r="H38" s="56" t="str">
        <x:f>IF(AND(H$5&gt;='任务与甘特'!$T39,H$5&lt;='任务与甘特'!$U39),"■","")</x:f>
      </x:c>
      <x:c r="I38" s="56" t="str">
        <x:f>IF(AND(I$5&gt;='任务与甘特'!$T39,I$5&lt;='任务与甘特'!$U39),"■","")</x:f>
      </x:c>
      <x:c r="J38" s="56" t="str">
        <x:f>IF(AND(J$5&gt;='任务与甘特'!$T39,J$5&lt;='任务与甘特'!$U39),"■","")</x:f>
      </x:c>
      <x:c r="K38" s="56" t="str">
        <x:f>IF(AND(K$5&gt;='任务与甘特'!$T39,K$5&lt;='任务与甘特'!$U39),"■","")</x:f>
      </x:c>
      <x:c r="L38" s="56" t="str">
        <x:f>IF(AND(L$5&gt;='任务与甘特'!$T39,L$5&lt;='任务与甘特'!$U39),"■","")</x:f>
      </x:c>
      <x:c r="M38" s="56" t="str">
        <x:f>IF(AND(M$5&gt;='任务与甘特'!$T39,M$5&lt;='任务与甘特'!$U39),"■","")</x:f>
      </x:c>
      <x:c r="N38" s="56" t="str">
        <x:f>IF(AND(N$5&gt;='任务与甘特'!$T39,N$5&lt;='任务与甘特'!$U39),"■","")</x:f>
      </x:c>
      <x:c r="O38" s="56" t="str">
        <x:f>IF(AND(O$5&gt;='任务与甘特'!$T39,O$5&lt;='任务与甘特'!$U39),"■","")</x:f>
      </x:c>
      <x:c r="P38" s="56" t="str">
        <x:f>IF(AND(P$5&gt;='任务与甘特'!$T39,P$5&lt;='任务与甘特'!$U39),"■","")</x:f>
      </x:c>
      <x:c r="Q38" s="56" t="str">
        <x:f>IF(AND(Q$5&gt;='任务与甘特'!$T39,Q$5&lt;='任务与甘特'!$U39),"■","")</x:f>
      </x:c>
      <x:c r="R38" s="56" t="str">
        <x:f>IF(AND(R$5&gt;='任务与甘特'!$T39,R$5&lt;='任务与甘特'!$U39),"■","")</x:f>
      </x:c>
      <x:c r="S38" s="56" t="str">
        <x:f>IF(AND(S$5&gt;='任务与甘特'!$T39,S$5&lt;='任务与甘特'!$U39),"■","")</x:f>
      </x:c>
      <x:c r="T38" s="56" t="str">
        <x:f>IF(AND(T$5&gt;='任务与甘特'!$T39,T$5&lt;='任务与甘特'!$U39),"■","")</x:f>
      </x:c>
      <x:c r="U38" s="56" t="str">
        <x:f>IF(AND(U$5&gt;='任务与甘特'!$T39,U$5&lt;='任务与甘特'!$U39),"■","")</x:f>
      </x:c>
      <x:c r="V38" s="56" t="str">
        <x:f>IF(AND(V$5&gt;='任务与甘特'!$T39,V$5&lt;='任务与甘特'!$U39),"■","")</x:f>
      </x:c>
      <x:c r="W38" s="56" t="str">
        <x:f>IF(AND(W$5&gt;='任务与甘特'!$T39,W$5&lt;='任务与甘特'!$U39),"■","")</x:f>
      </x:c>
      <x:c r="X38" s="56" t="str">
        <x:f>IF(AND(X$5&gt;='任务与甘特'!$T39,X$5&lt;='任务与甘特'!$U39),"■","")</x:f>
      </x:c>
      <x:c r="Y38" s="56" t="str">
        <x:f>IF(AND(Y$5&gt;='任务与甘特'!$T39,Y$5&lt;='任务与甘特'!$U39),"■","")</x:f>
      </x:c>
      <x:c r="Z38" s="56" t="str">
        <x:f>IF(AND(Z$5&gt;='任务与甘特'!$T39,Z$5&lt;='任务与甘特'!$U39),"■","")</x:f>
      </x:c>
      <x:c r="AA38" s="56" t="str">
        <x:f>IF(AND(AA$5&gt;='任务与甘特'!$T39,AA$5&lt;='任务与甘特'!$U39),"■","")</x:f>
      </x:c>
      <x:c r="AB38" s="56" t="str">
        <x:f>IF(AND(AB$5&gt;='任务与甘特'!$T39,AB$5&lt;='任务与甘特'!$U39),"■","")</x:f>
      </x:c>
      <x:c r="AC38" s="56" t="str">
        <x:f>IF(AND(AC$5&gt;='任务与甘特'!$T39,AC$5&lt;='任务与甘特'!$U39),"■","")</x:f>
      </x:c>
      <x:c r="AD38" s="56" t="str">
        <x:f>IF(AND(AD$5&gt;='任务与甘特'!$T39,AD$5&lt;='任务与甘特'!$U39),"■","")</x:f>
        <x:v>■</x:v>
      </x:c>
      <x:c r="AE38" s="56" t="str">
        <x:f>IF(AND(AE$5&gt;='任务与甘特'!$T39,AE$5&lt;='任务与甘特'!$U39),"■","")</x:f>
        <x:v>■</x:v>
      </x:c>
      <x:c r="AF38" s="56" t="str">
        <x:f>IF(AND(AF$5&gt;='任务与甘特'!$T39,AF$5&lt;='任务与甘特'!$U39),"■","")</x:f>
        <x:v>■</x:v>
      </x:c>
      <x:c r="AG38" s="56" t="str">
        <x:f>IF(AND(AG$5&gt;='任务与甘特'!$T39,AG$5&lt;='任务与甘特'!$U39),"■","")</x:f>
      </x:c>
      <x:c r="AH38" s="56" t="str">
        <x:f>IF(AND(AH$5&gt;='任务与甘特'!$T39,AH$5&lt;='任务与甘特'!$U39),"■","")</x:f>
      </x:c>
      <x:c r="AI38" s="56" t="str">
        <x:f>IF(AND(AI$5&gt;='任务与甘特'!$T39,AI$5&lt;='任务与甘特'!$U39),"■","")</x:f>
      </x:c>
      <x:c r="AJ38" s="56" t="str">
        <x:f>IF(AND(AJ$5&gt;='任务与甘特'!$T39,AJ$5&lt;='任务与甘特'!$U39),"■","")</x:f>
      </x:c>
      <x:c r="AK38" s="56" t="str">
        <x:f>IF(AND(AK$5&gt;='任务与甘特'!$T39,AK$5&lt;='任务与甘特'!$U39),"■","")</x:f>
      </x:c>
      <x:c r="AL38" s="56" t="str">
        <x:f>IF(AND(AL$5&gt;='任务与甘特'!$T39,AL$5&lt;='任务与甘特'!$U39),"■","")</x:f>
      </x:c>
      <x:c r="AM38" s="56" t="str">
        <x:f>IF(AND(AM$5&gt;='任务与甘特'!$T39,AM$5&lt;='任务与甘特'!$U39),"■","")</x:f>
      </x:c>
      <x:c r="AN38" s="56" t="str">
        <x:f>IF(AND(AN$5&gt;='任务与甘特'!$T39,AN$5&lt;='任务与甘特'!$U39),"■","")</x:f>
      </x:c>
      <x:c r="AO38" s="56" t="str">
        <x:f>IF(AND(AO$5&gt;='任务与甘特'!$T39,AO$5&lt;='任务与甘特'!$U39),"■","")</x:f>
      </x:c>
      <x:c r="AP38" s="56" t="str">
        <x:f>IF(AND(AP$5&gt;='任务与甘特'!$T39,AP$5&lt;='任务与甘特'!$U39),"■","")</x:f>
      </x:c>
    </x:row>
    <x:row r="39" ht="38" customHeight="1">
      <x:c r="A39" s="29" t="str">
        <x:f>'任务与甘特'!A40</x:f>
        <x:v>T4.7</x:v>
      </x:c>
      <x:c r="B39" s="29" t="str">
        <x:f>'任务与甘特'!B40</x:f>
        <x:v>执行容量、性能与导出测试</x:v>
      </x:c>
      <x:c r="C39" s="56" t="str">
        <x:f>IF(AND(C$5&gt;='任务与甘特'!$T40,C$5&lt;='任务与甘特'!$U40),"■","")</x:f>
      </x:c>
      <x:c r="D39" s="56" t="str">
        <x:f>IF(AND(D$5&gt;='任务与甘特'!$T40,D$5&lt;='任务与甘特'!$U40),"■","")</x:f>
      </x:c>
      <x:c r="E39" s="56" t="str">
        <x:f>IF(AND(E$5&gt;='任务与甘特'!$T40,E$5&lt;='任务与甘特'!$U40),"■","")</x:f>
      </x:c>
      <x:c r="F39" s="56" t="str">
        <x:f>IF(AND(F$5&gt;='任务与甘特'!$T40,F$5&lt;='任务与甘特'!$U40),"■","")</x:f>
      </x:c>
      <x:c r="G39" s="56" t="str">
        <x:f>IF(AND(G$5&gt;='任务与甘特'!$T40,G$5&lt;='任务与甘特'!$U40),"■","")</x:f>
      </x:c>
      <x:c r="H39" s="56" t="str">
        <x:f>IF(AND(H$5&gt;='任务与甘特'!$T40,H$5&lt;='任务与甘特'!$U40),"■","")</x:f>
      </x:c>
      <x:c r="I39" s="56" t="str">
        <x:f>IF(AND(I$5&gt;='任务与甘特'!$T40,I$5&lt;='任务与甘特'!$U40),"■","")</x:f>
      </x:c>
      <x:c r="J39" s="56" t="str">
        <x:f>IF(AND(J$5&gt;='任务与甘特'!$T40,J$5&lt;='任务与甘特'!$U40),"■","")</x:f>
      </x:c>
      <x:c r="K39" s="56" t="str">
        <x:f>IF(AND(K$5&gt;='任务与甘特'!$T40,K$5&lt;='任务与甘特'!$U40),"■","")</x:f>
      </x:c>
      <x:c r="L39" s="56" t="str">
        <x:f>IF(AND(L$5&gt;='任务与甘特'!$T40,L$5&lt;='任务与甘特'!$U40),"■","")</x:f>
      </x:c>
      <x:c r="M39" s="56" t="str">
        <x:f>IF(AND(M$5&gt;='任务与甘特'!$T40,M$5&lt;='任务与甘特'!$U40),"■","")</x:f>
      </x:c>
      <x:c r="N39" s="56" t="str">
        <x:f>IF(AND(N$5&gt;='任务与甘特'!$T40,N$5&lt;='任务与甘特'!$U40),"■","")</x:f>
      </x:c>
      <x:c r="O39" s="56" t="str">
        <x:f>IF(AND(O$5&gt;='任务与甘特'!$T40,O$5&lt;='任务与甘特'!$U40),"■","")</x:f>
      </x:c>
      <x:c r="P39" s="56" t="str">
        <x:f>IF(AND(P$5&gt;='任务与甘特'!$T40,P$5&lt;='任务与甘特'!$U40),"■","")</x:f>
      </x:c>
      <x:c r="Q39" s="56" t="str">
        <x:f>IF(AND(Q$5&gt;='任务与甘特'!$T40,Q$5&lt;='任务与甘特'!$U40),"■","")</x:f>
      </x:c>
      <x:c r="R39" s="56" t="str">
        <x:f>IF(AND(R$5&gt;='任务与甘特'!$T40,R$5&lt;='任务与甘特'!$U40),"■","")</x:f>
      </x:c>
      <x:c r="S39" s="56" t="str">
        <x:f>IF(AND(S$5&gt;='任务与甘特'!$T40,S$5&lt;='任务与甘特'!$U40),"■","")</x:f>
      </x:c>
      <x:c r="T39" s="56" t="str">
        <x:f>IF(AND(T$5&gt;='任务与甘特'!$T40,T$5&lt;='任务与甘特'!$U40),"■","")</x:f>
      </x:c>
      <x:c r="U39" s="56" t="str">
        <x:f>IF(AND(U$5&gt;='任务与甘特'!$T40,U$5&lt;='任务与甘特'!$U40),"■","")</x:f>
      </x:c>
      <x:c r="V39" s="56" t="str">
        <x:f>IF(AND(V$5&gt;='任务与甘特'!$T40,V$5&lt;='任务与甘特'!$U40),"■","")</x:f>
      </x:c>
      <x:c r="W39" s="56" t="str">
        <x:f>IF(AND(W$5&gt;='任务与甘特'!$T40,W$5&lt;='任务与甘特'!$U40),"■","")</x:f>
      </x:c>
      <x:c r="X39" s="56" t="str">
        <x:f>IF(AND(X$5&gt;='任务与甘特'!$T40,X$5&lt;='任务与甘特'!$U40),"■","")</x:f>
      </x:c>
      <x:c r="Y39" s="56" t="str">
        <x:f>IF(AND(Y$5&gt;='任务与甘特'!$T40,Y$5&lt;='任务与甘特'!$U40),"■","")</x:f>
      </x:c>
      <x:c r="Z39" s="56" t="str">
        <x:f>IF(AND(Z$5&gt;='任务与甘特'!$T40,Z$5&lt;='任务与甘特'!$U40),"■","")</x:f>
      </x:c>
      <x:c r="AA39" s="56" t="str">
        <x:f>IF(AND(AA$5&gt;='任务与甘特'!$T40,AA$5&lt;='任务与甘特'!$U40),"■","")</x:f>
      </x:c>
      <x:c r="AB39" s="56" t="str">
        <x:f>IF(AND(AB$5&gt;='任务与甘特'!$T40,AB$5&lt;='任务与甘特'!$U40),"■","")</x:f>
      </x:c>
      <x:c r="AC39" s="56" t="str">
        <x:f>IF(AND(AC$5&gt;='任务与甘特'!$T40,AC$5&lt;='任务与甘特'!$U40),"■","")</x:f>
      </x:c>
      <x:c r="AD39" s="56" t="str">
        <x:f>IF(AND(AD$5&gt;='任务与甘特'!$T40,AD$5&lt;='任务与甘特'!$U40),"■","")</x:f>
        <x:v>■</x:v>
      </x:c>
      <x:c r="AE39" s="56" t="str">
        <x:f>IF(AND(AE$5&gt;='任务与甘特'!$T40,AE$5&lt;='任务与甘特'!$U40),"■","")</x:f>
        <x:v>■</x:v>
      </x:c>
      <x:c r="AF39" s="56" t="str">
        <x:f>IF(AND(AF$5&gt;='任务与甘特'!$T40,AF$5&lt;='任务与甘特'!$U40),"■","")</x:f>
        <x:v>■</x:v>
      </x:c>
      <x:c r="AG39" s="56" t="str">
        <x:f>IF(AND(AG$5&gt;='任务与甘特'!$T40,AG$5&lt;='任务与甘特'!$U40),"■","")</x:f>
      </x:c>
      <x:c r="AH39" s="56" t="str">
        <x:f>IF(AND(AH$5&gt;='任务与甘特'!$T40,AH$5&lt;='任务与甘特'!$U40),"■","")</x:f>
      </x:c>
      <x:c r="AI39" s="56" t="str">
        <x:f>IF(AND(AI$5&gt;='任务与甘特'!$T40,AI$5&lt;='任务与甘特'!$U40),"■","")</x:f>
      </x:c>
      <x:c r="AJ39" s="56" t="str">
        <x:f>IF(AND(AJ$5&gt;='任务与甘特'!$T40,AJ$5&lt;='任务与甘特'!$U40),"■","")</x:f>
      </x:c>
      <x:c r="AK39" s="56" t="str">
        <x:f>IF(AND(AK$5&gt;='任务与甘特'!$T40,AK$5&lt;='任务与甘特'!$U40),"■","")</x:f>
      </x:c>
      <x:c r="AL39" s="56" t="str">
        <x:f>IF(AND(AL$5&gt;='任务与甘特'!$T40,AL$5&lt;='任务与甘特'!$U40),"■","")</x:f>
      </x:c>
      <x:c r="AM39" s="56" t="str">
        <x:f>IF(AND(AM$5&gt;='任务与甘特'!$T40,AM$5&lt;='任务与甘特'!$U40),"■","")</x:f>
      </x:c>
      <x:c r="AN39" s="56" t="str">
        <x:f>IF(AND(AN$5&gt;='任务与甘特'!$T40,AN$5&lt;='任务与甘特'!$U40),"■","")</x:f>
      </x:c>
      <x:c r="AO39" s="56" t="str">
        <x:f>IF(AND(AO$5&gt;='任务与甘特'!$T40,AO$5&lt;='任务与甘特'!$U40),"■","")</x:f>
      </x:c>
      <x:c r="AP39" s="56" t="str">
        <x:f>IF(AND(AP$5&gt;='任务与甘特'!$T40,AP$5&lt;='任务与甘特'!$U40),"■","")</x:f>
      </x:c>
    </x:row>
    <x:row r="40" ht="38" customHeight="1">
      <x:c r="A40" s="29" t="str">
        <x:f>'任务与甘特'!A41</x:f>
        <x:v>T4.8</x:v>
      </x:c>
      <x:c r="B40" s="29" t="str">
        <x:f>'任务与甘特'!B41</x:f>
        <x:v>验证备份恢复与72小时运行</x:v>
      </x:c>
      <x:c r="C40" s="56" t="str">
        <x:f>IF(AND(C$5&gt;='任务与甘特'!$T41,C$5&lt;='任务与甘特'!$U41),"■","")</x:f>
      </x:c>
      <x:c r="D40" s="56" t="str">
        <x:f>IF(AND(D$5&gt;='任务与甘特'!$T41,D$5&lt;='任务与甘特'!$U41),"■","")</x:f>
      </x:c>
      <x:c r="E40" s="56" t="str">
        <x:f>IF(AND(E$5&gt;='任务与甘特'!$T41,E$5&lt;='任务与甘特'!$U41),"■","")</x:f>
      </x:c>
      <x:c r="F40" s="56" t="str">
        <x:f>IF(AND(F$5&gt;='任务与甘特'!$T41,F$5&lt;='任务与甘特'!$U41),"■","")</x:f>
      </x:c>
      <x:c r="G40" s="56" t="str">
        <x:f>IF(AND(G$5&gt;='任务与甘特'!$T41,G$5&lt;='任务与甘特'!$U41),"■","")</x:f>
      </x:c>
      <x:c r="H40" s="56" t="str">
        <x:f>IF(AND(H$5&gt;='任务与甘特'!$T41,H$5&lt;='任务与甘特'!$U41),"■","")</x:f>
      </x:c>
      <x:c r="I40" s="56" t="str">
        <x:f>IF(AND(I$5&gt;='任务与甘特'!$T41,I$5&lt;='任务与甘特'!$U41),"■","")</x:f>
      </x:c>
      <x:c r="J40" s="56" t="str">
        <x:f>IF(AND(J$5&gt;='任务与甘特'!$T41,J$5&lt;='任务与甘特'!$U41),"■","")</x:f>
      </x:c>
      <x:c r="K40" s="56" t="str">
        <x:f>IF(AND(K$5&gt;='任务与甘特'!$T41,K$5&lt;='任务与甘特'!$U41),"■","")</x:f>
      </x:c>
      <x:c r="L40" s="56" t="str">
        <x:f>IF(AND(L$5&gt;='任务与甘特'!$T41,L$5&lt;='任务与甘特'!$U41),"■","")</x:f>
      </x:c>
      <x:c r="M40" s="56" t="str">
        <x:f>IF(AND(M$5&gt;='任务与甘特'!$T41,M$5&lt;='任务与甘特'!$U41),"■","")</x:f>
      </x:c>
      <x:c r="N40" s="56" t="str">
        <x:f>IF(AND(N$5&gt;='任务与甘特'!$T41,N$5&lt;='任务与甘特'!$U41),"■","")</x:f>
      </x:c>
      <x:c r="O40" s="56" t="str">
        <x:f>IF(AND(O$5&gt;='任务与甘特'!$T41,O$5&lt;='任务与甘特'!$U41),"■","")</x:f>
      </x:c>
      <x:c r="P40" s="56" t="str">
        <x:f>IF(AND(P$5&gt;='任务与甘特'!$T41,P$5&lt;='任务与甘特'!$U41),"■","")</x:f>
      </x:c>
      <x:c r="Q40" s="56" t="str">
        <x:f>IF(AND(Q$5&gt;='任务与甘特'!$T41,Q$5&lt;='任务与甘特'!$U41),"■","")</x:f>
      </x:c>
      <x:c r="R40" s="56" t="str">
        <x:f>IF(AND(R$5&gt;='任务与甘特'!$T41,R$5&lt;='任务与甘特'!$U41),"■","")</x:f>
      </x:c>
      <x:c r="S40" s="56" t="str">
        <x:f>IF(AND(S$5&gt;='任务与甘特'!$T41,S$5&lt;='任务与甘特'!$U41),"■","")</x:f>
      </x:c>
      <x:c r="T40" s="56" t="str">
        <x:f>IF(AND(T$5&gt;='任务与甘特'!$T41,T$5&lt;='任务与甘特'!$U41),"■","")</x:f>
      </x:c>
      <x:c r="U40" s="56" t="str">
        <x:f>IF(AND(U$5&gt;='任务与甘特'!$T41,U$5&lt;='任务与甘特'!$U41),"■","")</x:f>
      </x:c>
      <x:c r="V40" s="56" t="str">
        <x:f>IF(AND(V$5&gt;='任务与甘特'!$T41,V$5&lt;='任务与甘特'!$U41),"■","")</x:f>
      </x:c>
      <x:c r="W40" s="56" t="str">
        <x:f>IF(AND(W$5&gt;='任务与甘特'!$T41,W$5&lt;='任务与甘特'!$U41),"■","")</x:f>
      </x:c>
      <x:c r="X40" s="56" t="str">
        <x:f>IF(AND(X$5&gt;='任务与甘特'!$T41,X$5&lt;='任务与甘特'!$U41),"■","")</x:f>
      </x:c>
      <x:c r="Y40" s="56" t="str">
        <x:f>IF(AND(Y$5&gt;='任务与甘特'!$T41,Y$5&lt;='任务与甘特'!$U41),"■","")</x:f>
      </x:c>
      <x:c r="Z40" s="56" t="str">
        <x:f>IF(AND(Z$5&gt;='任务与甘特'!$T41,Z$5&lt;='任务与甘特'!$U41),"■","")</x:f>
      </x:c>
      <x:c r="AA40" s="56" t="str">
        <x:f>IF(AND(AA$5&gt;='任务与甘特'!$T41,AA$5&lt;='任务与甘特'!$U41),"■","")</x:f>
      </x:c>
      <x:c r="AB40" s="56" t="str">
        <x:f>IF(AND(AB$5&gt;='任务与甘特'!$T41,AB$5&lt;='任务与甘特'!$U41),"■","")</x:f>
      </x:c>
      <x:c r="AC40" s="56" t="str">
        <x:f>IF(AND(AC$5&gt;='任务与甘特'!$T41,AC$5&lt;='任务与甘特'!$U41),"■","")</x:f>
      </x:c>
      <x:c r="AD40" s="56" t="str">
        <x:f>IF(AND(AD$5&gt;='任务与甘特'!$T41,AD$5&lt;='任务与甘特'!$U41),"■","")</x:f>
      </x:c>
      <x:c r="AE40" s="56" t="str">
        <x:f>IF(AND(AE$5&gt;='任务与甘特'!$T41,AE$5&lt;='任务与甘特'!$U41),"■","")</x:f>
      </x:c>
      <x:c r="AF40" s="56" t="str">
        <x:f>IF(AND(AF$5&gt;='任务与甘特'!$T41,AF$5&lt;='任务与甘特'!$U41),"■","")</x:f>
        <x:v>■</x:v>
      </x:c>
      <x:c r="AG40" s="56" t="str">
        <x:f>IF(AND(AG$5&gt;='任务与甘特'!$T41,AG$5&lt;='任务与甘特'!$U41),"■","")</x:f>
        <x:v>■</x:v>
      </x:c>
      <x:c r="AH40" s="56" t="str">
        <x:f>IF(AND(AH$5&gt;='任务与甘特'!$T41,AH$5&lt;='任务与甘特'!$U41),"■","")</x:f>
        <x:v>■</x:v>
      </x:c>
      <x:c r="AI40" s="56" t="str">
        <x:f>IF(AND(AI$5&gt;='任务与甘特'!$T41,AI$5&lt;='任务与甘特'!$U41),"■","")</x:f>
        <x:v>■</x:v>
      </x:c>
      <x:c r="AJ40" s="56" t="str">
        <x:f>IF(AND(AJ$5&gt;='任务与甘特'!$T41,AJ$5&lt;='任务与甘特'!$U41),"■","")</x:f>
      </x:c>
      <x:c r="AK40" s="56" t="str">
        <x:f>IF(AND(AK$5&gt;='任务与甘特'!$T41,AK$5&lt;='任务与甘特'!$U41),"■","")</x:f>
      </x:c>
      <x:c r="AL40" s="56" t="str">
        <x:f>IF(AND(AL$5&gt;='任务与甘特'!$T41,AL$5&lt;='任务与甘特'!$U41),"■","")</x:f>
      </x:c>
      <x:c r="AM40" s="56" t="str">
        <x:f>IF(AND(AM$5&gt;='任务与甘特'!$T41,AM$5&lt;='任务与甘特'!$U41),"■","")</x:f>
      </x:c>
      <x:c r="AN40" s="56" t="str">
        <x:f>IF(AND(AN$5&gt;='任务与甘特'!$T41,AN$5&lt;='任务与甘特'!$U41),"■","")</x:f>
      </x:c>
      <x:c r="AO40" s="56" t="str">
        <x:f>IF(AND(AO$5&gt;='任务与甘特'!$T41,AO$5&lt;='任务与甘特'!$U41),"■","")</x:f>
      </x:c>
      <x:c r="AP40" s="56" t="str">
        <x:f>IF(AND(AP$5&gt;='任务与甘特'!$T41,AP$5&lt;='任务与甘特'!$U41),"■","")</x:f>
      </x:c>
    </x:row>
    <x:row r="41" ht="38" customHeight="1">
      <x:c r="A41" s="29" t="str">
        <x:f>'任务与甘特'!A42</x:f>
        <x:v>T4.9</x:v>
      </x:c>
      <x:c r="B41" s="29" t="str">
        <x:f>'任务与甘特'!B42</x:f>
        <x:v>验证兼容、部署与监控</x:v>
      </x:c>
      <x:c r="C41" s="56" t="str">
        <x:f>IF(AND(C$5&gt;='任务与甘特'!$T42,C$5&lt;='任务与甘特'!$U42),"■","")</x:f>
      </x:c>
      <x:c r="D41" s="56" t="str">
        <x:f>IF(AND(D$5&gt;='任务与甘特'!$T42,D$5&lt;='任务与甘特'!$U42),"■","")</x:f>
      </x:c>
      <x:c r="E41" s="56" t="str">
        <x:f>IF(AND(E$5&gt;='任务与甘特'!$T42,E$5&lt;='任务与甘特'!$U42),"■","")</x:f>
      </x:c>
      <x:c r="F41" s="56" t="str">
        <x:f>IF(AND(F$5&gt;='任务与甘特'!$T42,F$5&lt;='任务与甘特'!$U42),"■","")</x:f>
      </x:c>
      <x:c r="G41" s="56" t="str">
        <x:f>IF(AND(G$5&gt;='任务与甘特'!$T42,G$5&lt;='任务与甘特'!$U42),"■","")</x:f>
      </x:c>
      <x:c r="H41" s="56" t="str">
        <x:f>IF(AND(H$5&gt;='任务与甘特'!$T42,H$5&lt;='任务与甘特'!$U42),"■","")</x:f>
      </x:c>
      <x:c r="I41" s="56" t="str">
        <x:f>IF(AND(I$5&gt;='任务与甘特'!$T42,I$5&lt;='任务与甘特'!$U42),"■","")</x:f>
      </x:c>
      <x:c r="J41" s="56" t="str">
        <x:f>IF(AND(J$5&gt;='任务与甘特'!$T42,J$5&lt;='任务与甘特'!$U42),"■","")</x:f>
      </x:c>
      <x:c r="K41" s="56" t="str">
        <x:f>IF(AND(K$5&gt;='任务与甘特'!$T42,K$5&lt;='任务与甘特'!$U42),"■","")</x:f>
      </x:c>
      <x:c r="L41" s="56" t="str">
        <x:f>IF(AND(L$5&gt;='任务与甘特'!$T42,L$5&lt;='任务与甘特'!$U42),"■","")</x:f>
      </x:c>
      <x:c r="M41" s="56" t="str">
        <x:f>IF(AND(M$5&gt;='任务与甘特'!$T42,M$5&lt;='任务与甘特'!$U42),"■","")</x:f>
      </x:c>
      <x:c r="N41" s="56" t="str">
        <x:f>IF(AND(N$5&gt;='任务与甘特'!$T42,N$5&lt;='任务与甘特'!$U42),"■","")</x:f>
      </x:c>
      <x:c r="O41" s="56" t="str">
        <x:f>IF(AND(O$5&gt;='任务与甘特'!$T42,O$5&lt;='任务与甘特'!$U42),"■","")</x:f>
      </x:c>
      <x:c r="P41" s="56" t="str">
        <x:f>IF(AND(P$5&gt;='任务与甘特'!$T42,P$5&lt;='任务与甘特'!$U42),"■","")</x:f>
      </x:c>
      <x:c r="Q41" s="56" t="str">
        <x:f>IF(AND(Q$5&gt;='任务与甘特'!$T42,Q$5&lt;='任务与甘特'!$U42),"■","")</x:f>
      </x:c>
      <x:c r="R41" s="56" t="str">
        <x:f>IF(AND(R$5&gt;='任务与甘特'!$T42,R$5&lt;='任务与甘特'!$U42),"■","")</x:f>
      </x:c>
      <x:c r="S41" s="56" t="str">
        <x:f>IF(AND(S$5&gt;='任务与甘特'!$T42,S$5&lt;='任务与甘特'!$U42),"■","")</x:f>
      </x:c>
      <x:c r="T41" s="56" t="str">
        <x:f>IF(AND(T$5&gt;='任务与甘特'!$T42,T$5&lt;='任务与甘特'!$U42),"■","")</x:f>
      </x:c>
      <x:c r="U41" s="56" t="str">
        <x:f>IF(AND(U$5&gt;='任务与甘特'!$T42,U$5&lt;='任务与甘特'!$U42),"■","")</x:f>
      </x:c>
      <x:c r="V41" s="56" t="str">
        <x:f>IF(AND(V$5&gt;='任务与甘特'!$T42,V$5&lt;='任务与甘特'!$U42),"■","")</x:f>
      </x:c>
      <x:c r="W41" s="56" t="str">
        <x:f>IF(AND(W$5&gt;='任务与甘特'!$T42,W$5&lt;='任务与甘特'!$U42),"■","")</x:f>
      </x:c>
      <x:c r="X41" s="56" t="str">
        <x:f>IF(AND(X$5&gt;='任务与甘特'!$T42,X$5&lt;='任务与甘特'!$U42),"■","")</x:f>
      </x:c>
      <x:c r="Y41" s="56" t="str">
        <x:f>IF(AND(Y$5&gt;='任务与甘特'!$T42,Y$5&lt;='任务与甘特'!$U42),"■","")</x:f>
      </x:c>
      <x:c r="Z41" s="56" t="str">
        <x:f>IF(AND(Z$5&gt;='任务与甘特'!$T42,Z$5&lt;='任务与甘特'!$U42),"■","")</x:f>
      </x:c>
      <x:c r="AA41" s="56" t="str">
        <x:f>IF(AND(AA$5&gt;='任务与甘特'!$T42,AA$5&lt;='任务与甘特'!$U42),"■","")</x:f>
      </x:c>
      <x:c r="AB41" s="56" t="str">
        <x:f>IF(AND(AB$5&gt;='任务与甘特'!$T42,AB$5&lt;='任务与甘特'!$U42),"■","")</x:f>
      </x:c>
      <x:c r="AC41" s="56" t="str">
        <x:f>IF(AND(AC$5&gt;='任务与甘特'!$T42,AC$5&lt;='任务与甘特'!$U42),"■","")</x:f>
      </x:c>
      <x:c r="AD41" s="56" t="str">
        <x:f>IF(AND(AD$5&gt;='任务与甘特'!$T42,AD$5&lt;='任务与甘特'!$U42),"■","")</x:f>
        <x:v>■</x:v>
      </x:c>
      <x:c r="AE41" s="56" t="str">
        <x:f>IF(AND(AE$5&gt;='任务与甘特'!$T42,AE$5&lt;='任务与甘特'!$U42),"■","")</x:f>
        <x:v>■</x:v>
      </x:c>
      <x:c r="AF41" s="56" t="str">
        <x:f>IF(AND(AF$5&gt;='任务与甘特'!$T42,AF$5&lt;='任务与甘特'!$U42),"■","")</x:f>
      </x:c>
      <x:c r="AG41" s="56" t="str">
        <x:f>IF(AND(AG$5&gt;='任务与甘特'!$T42,AG$5&lt;='任务与甘特'!$U42),"■","")</x:f>
      </x:c>
      <x:c r="AH41" s="56" t="str">
        <x:f>IF(AND(AH$5&gt;='任务与甘特'!$T42,AH$5&lt;='任务与甘特'!$U42),"■","")</x:f>
      </x:c>
      <x:c r="AI41" s="56" t="str">
        <x:f>IF(AND(AI$5&gt;='任务与甘特'!$T42,AI$5&lt;='任务与甘特'!$U42),"■","")</x:f>
      </x:c>
      <x:c r="AJ41" s="56" t="str">
        <x:f>IF(AND(AJ$5&gt;='任务与甘特'!$T42,AJ$5&lt;='任务与甘特'!$U42),"■","")</x:f>
      </x:c>
      <x:c r="AK41" s="56" t="str">
        <x:f>IF(AND(AK$5&gt;='任务与甘特'!$T42,AK$5&lt;='任务与甘特'!$U42),"■","")</x:f>
      </x:c>
      <x:c r="AL41" s="56" t="str">
        <x:f>IF(AND(AL$5&gt;='任务与甘特'!$T42,AL$5&lt;='任务与甘特'!$U42),"■","")</x:f>
      </x:c>
      <x:c r="AM41" s="56" t="str">
        <x:f>IF(AND(AM$5&gt;='任务与甘特'!$T42,AM$5&lt;='任务与甘特'!$U42),"■","")</x:f>
      </x:c>
      <x:c r="AN41" s="56" t="str">
        <x:f>IF(AND(AN$5&gt;='任务与甘特'!$T42,AN$5&lt;='任务与甘特'!$U42),"■","")</x:f>
      </x:c>
      <x:c r="AO41" s="56" t="str">
        <x:f>IF(AND(AO$5&gt;='任务与甘特'!$T42,AO$5&lt;='任务与甘特'!$U42),"■","")</x:f>
      </x:c>
      <x:c r="AP41" s="56" t="str">
        <x:f>IF(AND(AP$5&gt;='任务与甘特'!$T42,AP$5&lt;='任务与甘特'!$U42),"■","")</x:f>
      </x:c>
    </x:row>
    <x:row r="42" ht="38" customHeight="1">
      <x:c r="A42" s="29" t="str">
        <x:f>'任务与甘特'!A43</x:f>
        <x:v>T4.10</x:v>
      </x:c>
      <x:c r="B42" s="29" t="str">
        <x:f>'任务与甘特'!B43</x:f>
        <x:v>修复缺陷并复核需求覆盖</x:v>
      </x:c>
      <x:c r="C42" s="56" t="str">
        <x:f>IF(AND(C$5&gt;='任务与甘特'!$T43,C$5&lt;='任务与甘特'!$U43),"■","")</x:f>
      </x:c>
      <x:c r="D42" s="56" t="str">
        <x:f>IF(AND(D$5&gt;='任务与甘特'!$T43,D$5&lt;='任务与甘特'!$U43),"■","")</x:f>
      </x:c>
      <x:c r="E42" s="56" t="str">
        <x:f>IF(AND(E$5&gt;='任务与甘特'!$T43,E$5&lt;='任务与甘特'!$U43),"■","")</x:f>
      </x:c>
      <x:c r="F42" s="56" t="str">
        <x:f>IF(AND(F$5&gt;='任务与甘特'!$T43,F$5&lt;='任务与甘特'!$U43),"■","")</x:f>
      </x:c>
      <x:c r="G42" s="56" t="str">
        <x:f>IF(AND(G$5&gt;='任务与甘特'!$T43,G$5&lt;='任务与甘特'!$U43),"■","")</x:f>
      </x:c>
      <x:c r="H42" s="56" t="str">
        <x:f>IF(AND(H$5&gt;='任务与甘特'!$T43,H$5&lt;='任务与甘特'!$U43),"■","")</x:f>
      </x:c>
      <x:c r="I42" s="56" t="str">
        <x:f>IF(AND(I$5&gt;='任务与甘特'!$T43,I$5&lt;='任务与甘特'!$U43),"■","")</x:f>
      </x:c>
      <x:c r="J42" s="56" t="str">
        <x:f>IF(AND(J$5&gt;='任务与甘特'!$T43,J$5&lt;='任务与甘特'!$U43),"■","")</x:f>
      </x:c>
      <x:c r="K42" s="56" t="str">
        <x:f>IF(AND(K$5&gt;='任务与甘特'!$T43,K$5&lt;='任务与甘特'!$U43),"■","")</x:f>
      </x:c>
      <x:c r="L42" s="56" t="str">
        <x:f>IF(AND(L$5&gt;='任务与甘特'!$T43,L$5&lt;='任务与甘特'!$U43),"■","")</x:f>
      </x:c>
      <x:c r="M42" s="56" t="str">
        <x:f>IF(AND(M$5&gt;='任务与甘特'!$T43,M$5&lt;='任务与甘特'!$U43),"■","")</x:f>
      </x:c>
      <x:c r="N42" s="56" t="str">
        <x:f>IF(AND(N$5&gt;='任务与甘特'!$T43,N$5&lt;='任务与甘特'!$U43),"■","")</x:f>
      </x:c>
      <x:c r="O42" s="56" t="str">
        <x:f>IF(AND(O$5&gt;='任务与甘特'!$T43,O$5&lt;='任务与甘特'!$U43),"■","")</x:f>
      </x:c>
      <x:c r="P42" s="56" t="str">
        <x:f>IF(AND(P$5&gt;='任务与甘特'!$T43,P$5&lt;='任务与甘特'!$U43),"■","")</x:f>
      </x:c>
      <x:c r="Q42" s="56" t="str">
        <x:f>IF(AND(Q$5&gt;='任务与甘特'!$T43,Q$5&lt;='任务与甘特'!$U43),"■","")</x:f>
      </x:c>
      <x:c r="R42" s="56" t="str">
        <x:f>IF(AND(R$5&gt;='任务与甘特'!$T43,R$5&lt;='任务与甘特'!$U43),"■","")</x:f>
      </x:c>
      <x:c r="S42" s="56" t="str">
        <x:f>IF(AND(S$5&gt;='任务与甘特'!$T43,S$5&lt;='任务与甘特'!$U43),"■","")</x:f>
      </x:c>
      <x:c r="T42" s="56" t="str">
        <x:f>IF(AND(T$5&gt;='任务与甘特'!$T43,T$5&lt;='任务与甘特'!$U43),"■","")</x:f>
      </x:c>
      <x:c r="U42" s="56" t="str">
        <x:f>IF(AND(U$5&gt;='任务与甘特'!$T43,U$5&lt;='任务与甘特'!$U43),"■","")</x:f>
      </x:c>
      <x:c r="V42" s="56" t="str">
        <x:f>IF(AND(V$5&gt;='任务与甘特'!$T43,V$5&lt;='任务与甘特'!$U43),"■","")</x:f>
      </x:c>
      <x:c r="W42" s="56" t="str">
        <x:f>IF(AND(W$5&gt;='任务与甘特'!$T43,W$5&lt;='任务与甘特'!$U43),"■","")</x:f>
      </x:c>
      <x:c r="X42" s="56" t="str">
        <x:f>IF(AND(X$5&gt;='任务与甘特'!$T43,X$5&lt;='任务与甘特'!$U43),"■","")</x:f>
      </x:c>
      <x:c r="Y42" s="56" t="str">
        <x:f>IF(AND(Y$5&gt;='任务与甘特'!$T43,Y$5&lt;='任务与甘特'!$U43),"■","")</x:f>
      </x:c>
      <x:c r="Z42" s="56" t="str">
        <x:f>IF(AND(Z$5&gt;='任务与甘特'!$T43,Z$5&lt;='任务与甘特'!$U43),"■","")</x:f>
      </x:c>
      <x:c r="AA42" s="56" t="str">
        <x:f>IF(AND(AA$5&gt;='任务与甘特'!$T43,AA$5&lt;='任务与甘特'!$U43),"■","")</x:f>
      </x:c>
      <x:c r="AB42" s="56" t="str">
        <x:f>IF(AND(AB$5&gt;='任务与甘特'!$T43,AB$5&lt;='任务与甘特'!$U43),"■","")</x:f>
      </x:c>
      <x:c r="AC42" s="56" t="str">
        <x:f>IF(AND(AC$5&gt;='任务与甘特'!$T43,AC$5&lt;='任务与甘特'!$U43),"■","")</x:f>
      </x:c>
      <x:c r="AD42" s="56" t="str">
        <x:f>IF(AND(AD$5&gt;='任务与甘特'!$T43,AD$5&lt;='任务与甘特'!$U43),"■","")</x:f>
      </x:c>
      <x:c r="AE42" s="56" t="str">
        <x:f>IF(AND(AE$5&gt;='任务与甘特'!$T43,AE$5&lt;='任务与甘特'!$U43),"■","")</x:f>
      </x:c>
      <x:c r="AF42" s="56" t="str">
        <x:f>IF(AND(AF$5&gt;='任务与甘特'!$T43,AF$5&lt;='任务与甘特'!$U43),"■","")</x:f>
      </x:c>
      <x:c r="AG42" s="56" t="str">
        <x:f>IF(AND(AG$5&gt;='任务与甘特'!$T43,AG$5&lt;='任务与甘特'!$U43),"■","")</x:f>
      </x:c>
      <x:c r="AH42" s="56" t="str">
        <x:f>IF(AND(AH$5&gt;='任务与甘特'!$T43,AH$5&lt;='任务与甘特'!$U43),"■","")</x:f>
      </x:c>
      <x:c r="AI42" s="56" t="str">
        <x:f>IF(AND(AI$5&gt;='任务与甘特'!$T43,AI$5&lt;='任务与甘特'!$U43),"■","")</x:f>
      </x:c>
      <x:c r="AJ42" s="56" t="str">
        <x:f>IF(AND(AJ$5&gt;='任务与甘特'!$T43,AJ$5&lt;='任务与甘特'!$U43),"■","")</x:f>
        <x:v>■</x:v>
      </x:c>
      <x:c r="AK42" s="56" t="str">
        <x:f>IF(AND(AK$5&gt;='任务与甘特'!$T43,AK$5&lt;='任务与甘特'!$U43),"■","")</x:f>
        <x:v>■</x:v>
      </x:c>
      <x:c r="AL42" s="56" t="str">
        <x:f>IF(AND(AL$5&gt;='任务与甘特'!$T43,AL$5&lt;='任务与甘特'!$U43),"■","")</x:f>
        <x:v>■</x:v>
      </x:c>
      <x:c r="AM42" s="56" t="str">
        <x:f>IF(AND(AM$5&gt;='任务与甘特'!$T43,AM$5&lt;='任务与甘特'!$U43),"■","")</x:f>
      </x:c>
      <x:c r="AN42" s="56" t="str">
        <x:f>IF(AND(AN$5&gt;='任务与甘特'!$T43,AN$5&lt;='任务与甘特'!$U43),"■","")</x:f>
      </x:c>
      <x:c r="AO42" s="56" t="str">
        <x:f>IF(AND(AO$5&gt;='任务与甘特'!$T43,AO$5&lt;='任务与甘特'!$U43),"■","")</x:f>
      </x:c>
      <x:c r="AP42" s="56" t="str">
        <x:f>IF(AND(AP$5&gt;='任务与甘特'!$T43,AP$5&lt;='任务与甘特'!$U43),"■","")</x:f>
      </x:c>
    </x:row>
    <x:row r="43" ht="38" customHeight="1">
      <x:c r="A43" s="29" t="str">
        <x:f>'任务与甘特'!A44</x:f>
        <x:v>T5.1</x:v>
      </x:c>
      <x:c r="B43" s="29" t="str">
        <x:f>'任务与甘特'!B44</x:f>
        <x:v>部署拟定试运行环境</x:v>
      </x:c>
      <x:c r="C43" s="56" t="str">
        <x:f>IF(AND(C$5&gt;='任务与甘特'!$T44,C$5&lt;='任务与甘特'!$U44),"■","")</x:f>
      </x:c>
      <x:c r="D43" s="56" t="str">
        <x:f>IF(AND(D$5&gt;='任务与甘特'!$T44,D$5&lt;='任务与甘特'!$U44),"■","")</x:f>
      </x:c>
      <x:c r="E43" s="56" t="str">
        <x:f>IF(AND(E$5&gt;='任务与甘特'!$T44,E$5&lt;='任务与甘特'!$U44),"■","")</x:f>
      </x:c>
      <x:c r="F43" s="56" t="str">
        <x:f>IF(AND(F$5&gt;='任务与甘特'!$T44,F$5&lt;='任务与甘特'!$U44),"■","")</x:f>
      </x:c>
      <x:c r="G43" s="56" t="str">
        <x:f>IF(AND(G$5&gt;='任务与甘特'!$T44,G$5&lt;='任务与甘特'!$U44),"■","")</x:f>
      </x:c>
      <x:c r="H43" s="56" t="str">
        <x:f>IF(AND(H$5&gt;='任务与甘特'!$T44,H$5&lt;='任务与甘特'!$U44),"■","")</x:f>
      </x:c>
      <x:c r="I43" s="56" t="str">
        <x:f>IF(AND(I$5&gt;='任务与甘特'!$T44,I$5&lt;='任务与甘特'!$U44),"■","")</x:f>
      </x:c>
      <x:c r="J43" s="56" t="str">
        <x:f>IF(AND(J$5&gt;='任务与甘特'!$T44,J$5&lt;='任务与甘特'!$U44),"■","")</x:f>
      </x:c>
      <x:c r="K43" s="56" t="str">
        <x:f>IF(AND(K$5&gt;='任务与甘特'!$T44,K$5&lt;='任务与甘特'!$U44),"■","")</x:f>
      </x:c>
      <x:c r="L43" s="56" t="str">
        <x:f>IF(AND(L$5&gt;='任务与甘特'!$T44,L$5&lt;='任务与甘特'!$U44),"■","")</x:f>
      </x:c>
      <x:c r="M43" s="56" t="str">
        <x:f>IF(AND(M$5&gt;='任务与甘特'!$T44,M$5&lt;='任务与甘特'!$U44),"■","")</x:f>
      </x:c>
      <x:c r="N43" s="56" t="str">
        <x:f>IF(AND(N$5&gt;='任务与甘特'!$T44,N$5&lt;='任务与甘特'!$U44),"■","")</x:f>
      </x:c>
      <x:c r="O43" s="56" t="str">
        <x:f>IF(AND(O$5&gt;='任务与甘特'!$T44,O$5&lt;='任务与甘特'!$U44),"■","")</x:f>
      </x:c>
      <x:c r="P43" s="56" t="str">
        <x:f>IF(AND(P$5&gt;='任务与甘特'!$T44,P$5&lt;='任务与甘特'!$U44),"■","")</x:f>
      </x:c>
      <x:c r="Q43" s="56" t="str">
        <x:f>IF(AND(Q$5&gt;='任务与甘特'!$T44,Q$5&lt;='任务与甘特'!$U44),"■","")</x:f>
      </x:c>
      <x:c r="R43" s="56" t="str">
        <x:f>IF(AND(R$5&gt;='任务与甘特'!$T44,R$5&lt;='任务与甘特'!$U44),"■","")</x:f>
      </x:c>
      <x:c r="S43" s="56" t="str">
        <x:f>IF(AND(S$5&gt;='任务与甘特'!$T44,S$5&lt;='任务与甘特'!$U44),"■","")</x:f>
      </x:c>
      <x:c r="T43" s="56" t="str">
        <x:f>IF(AND(T$5&gt;='任务与甘特'!$T44,T$5&lt;='任务与甘特'!$U44),"■","")</x:f>
      </x:c>
      <x:c r="U43" s="56" t="str">
        <x:f>IF(AND(U$5&gt;='任务与甘特'!$T44,U$5&lt;='任务与甘特'!$U44),"■","")</x:f>
      </x:c>
      <x:c r="V43" s="56" t="str">
        <x:f>IF(AND(V$5&gt;='任务与甘特'!$T44,V$5&lt;='任务与甘特'!$U44),"■","")</x:f>
      </x:c>
      <x:c r="W43" s="56" t="str">
        <x:f>IF(AND(W$5&gt;='任务与甘特'!$T44,W$5&lt;='任务与甘特'!$U44),"■","")</x:f>
      </x:c>
      <x:c r="X43" s="56" t="str">
        <x:f>IF(AND(X$5&gt;='任务与甘特'!$T44,X$5&lt;='任务与甘特'!$U44),"■","")</x:f>
      </x:c>
      <x:c r="Y43" s="56" t="str">
        <x:f>IF(AND(Y$5&gt;='任务与甘特'!$T44,Y$5&lt;='任务与甘特'!$U44),"■","")</x:f>
      </x:c>
      <x:c r="Z43" s="56" t="str">
        <x:f>IF(AND(Z$5&gt;='任务与甘特'!$T44,Z$5&lt;='任务与甘特'!$U44),"■","")</x:f>
      </x:c>
      <x:c r="AA43" s="56" t="str">
        <x:f>IF(AND(AA$5&gt;='任务与甘特'!$T44,AA$5&lt;='任务与甘特'!$U44),"■","")</x:f>
      </x:c>
      <x:c r="AB43" s="56" t="str">
        <x:f>IF(AND(AB$5&gt;='任务与甘特'!$T44,AB$5&lt;='任务与甘特'!$U44),"■","")</x:f>
        <x:v>■</x:v>
      </x:c>
      <x:c r="AC43" s="56" t="str">
        <x:f>IF(AND(AC$5&gt;='任务与甘特'!$T44,AC$5&lt;='任务与甘特'!$U44),"■","")</x:f>
        <x:v>■</x:v>
      </x:c>
      <x:c r="AD43" s="56" t="str">
        <x:f>IF(AND(AD$5&gt;='任务与甘特'!$T44,AD$5&lt;='任务与甘特'!$U44),"■","")</x:f>
      </x:c>
      <x:c r="AE43" s="56" t="str">
        <x:f>IF(AND(AE$5&gt;='任务与甘特'!$T44,AE$5&lt;='任务与甘特'!$U44),"■","")</x:f>
      </x:c>
      <x:c r="AF43" s="56" t="str">
        <x:f>IF(AND(AF$5&gt;='任务与甘特'!$T44,AF$5&lt;='任务与甘特'!$U44),"■","")</x:f>
      </x:c>
      <x:c r="AG43" s="56" t="str">
        <x:f>IF(AND(AG$5&gt;='任务与甘特'!$T44,AG$5&lt;='任务与甘特'!$U44),"■","")</x:f>
      </x:c>
      <x:c r="AH43" s="56" t="str">
        <x:f>IF(AND(AH$5&gt;='任务与甘特'!$T44,AH$5&lt;='任务与甘特'!$U44),"■","")</x:f>
      </x:c>
      <x:c r="AI43" s="56" t="str">
        <x:f>IF(AND(AI$5&gt;='任务与甘特'!$T44,AI$5&lt;='任务与甘特'!$U44),"■","")</x:f>
      </x:c>
      <x:c r="AJ43" s="56" t="str">
        <x:f>IF(AND(AJ$5&gt;='任务与甘特'!$T44,AJ$5&lt;='任务与甘特'!$U44),"■","")</x:f>
      </x:c>
      <x:c r="AK43" s="56" t="str">
        <x:f>IF(AND(AK$5&gt;='任务与甘特'!$T44,AK$5&lt;='任务与甘特'!$U44),"■","")</x:f>
      </x:c>
      <x:c r="AL43" s="56" t="str">
        <x:f>IF(AND(AL$5&gt;='任务与甘特'!$T44,AL$5&lt;='任务与甘特'!$U44),"■","")</x:f>
      </x:c>
      <x:c r="AM43" s="56" t="str">
        <x:f>IF(AND(AM$5&gt;='任务与甘特'!$T44,AM$5&lt;='任务与甘特'!$U44),"■","")</x:f>
      </x:c>
      <x:c r="AN43" s="56" t="str">
        <x:f>IF(AND(AN$5&gt;='任务与甘特'!$T44,AN$5&lt;='任务与甘特'!$U44),"■","")</x:f>
      </x:c>
      <x:c r="AO43" s="56" t="str">
        <x:f>IF(AND(AO$5&gt;='任务与甘特'!$T44,AO$5&lt;='任务与甘特'!$U44),"■","")</x:f>
      </x:c>
      <x:c r="AP43" s="56" t="str">
        <x:f>IF(AND(AP$5&gt;='任务与甘特'!$T44,AP$5&lt;='任务与甘特'!$U44),"■","")</x:f>
      </x:c>
    </x:row>
    <x:row r="44" ht="38" customHeight="1">
      <x:c r="A44" s="29" t="str">
        <x:f>'任务与甘特'!A45</x:f>
        <x:v>T5.2</x:v>
      </x:c>
      <x:c r="B44" s="29" t="str">
        <x:f>'任务与甘特'!B45</x:f>
        <x:v>安排业务试运行与反馈</x:v>
      </x:c>
      <x:c r="C44" s="56" t="str">
        <x:f>IF(AND(C$5&gt;='任务与甘特'!$T45,C$5&lt;='任务与甘特'!$U45),"■","")</x:f>
      </x:c>
      <x:c r="D44" s="56" t="str">
        <x:f>IF(AND(D$5&gt;='任务与甘特'!$T45,D$5&lt;='任务与甘特'!$U45),"■","")</x:f>
      </x:c>
      <x:c r="E44" s="56" t="str">
        <x:f>IF(AND(E$5&gt;='任务与甘特'!$T45,E$5&lt;='任务与甘特'!$U45),"■","")</x:f>
      </x:c>
      <x:c r="F44" s="56" t="str">
        <x:f>IF(AND(F$5&gt;='任务与甘特'!$T45,F$5&lt;='任务与甘特'!$U45),"■","")</x:f>
      </x:c>
      <x:c r="G44" s="56" t="str">
        <x:f>IF(AND(G$5&gt;='任务与甘特'!$T45,G$5&lt;='任务与甘特'!$U45),"■","")</x:f>
      </x:c>
      <x:c r="H44" s="56" t="str">
        <x:f>IF(AND(H$5&gt;='任务与甘特'!$T45,H$5&lt;='任务与甘特'!$U45),"■","")</x:f>
      </x:c>
      <x:c r="I44" s="56" t="str">
        <x:f>IF(AND(I$5&gt;='任务与甘特'!$T45,I$5&lt;='任务与甘特'!$U45),"■","")</x:f>
      </x:c>
      <x:c r="J44" s="56" t="str">
        <x:f>IF(AND(J$5&gt;='任务与甘特'!$T45,J$5&lt;='任务与甘特'!$U45),"■","")</x:f>
      </x:c>
      <x:c r="K44" s="56" t="str">
        <x:f>IF(AND(K$5&gt;='任务与甘特'!$T45,K$5&lt;='任务与甘特'!$U45),"■","")</x:f>
      </x:c>
      <x:c r="L44" s="56" t="str">
        <x:f>IF(AND(L$5&gt;='任务与甘特'!$T45,L$5&lt;='任务与甘特'!$U45),"■","")</x:f>
      </x:c>
      <x:c r="M44" s="56" t="str">
        <x:f>IF(AND(M$5&gt;='任务与甘特'!$T45,M$5&lt;='任务与甘特'!$U45),"■","")</x:f>
      </x:c>
      <x:c r="N44" s="56" t="str">
        <x:f>IF(AND(N$5&gt;='任务与甘特'!$T45,N$5&lt;='任务与甘特'!$U45),"■","")</x:f>
      </x:c>
      <x:c r="O44" s="56" t="str">
        <x:f>IF(AND(O$5&gt;='任务与甘特'!$T45,O$5&lt;='任务与甘特'!$U45),"■","")</x:f>
      </x:c>
      <x:c r="P44" s="56" t="str">
        <x:f>IF(AND(P$5&gt;='任务与甘特'!$T45,P$5&lt;='任务与甘特'!$U45),"■","")</x:f>
      </x:c>
      <x:c r="Q44" s="56" t="str">
        <x:f>IF(AND(Q$5&gt;='任务与甘特'!$T45,Q$5&lt;='任务与甘特'!$U45),"■","")</x:f>
      </x:c>
      <x:c r="R44" s="56" t="str">
        <x:f>IF(AND(R$5&gt;='任务与甘特'!$T45,R$5&lt;='任务与甘特'!$U45),"■","")</x:f>
      </x:c>
      <x:c r="S44" s="56" t="str">
        <x:f>IF(AND(S$5&gt;='任务与甘特'!$T45,S$5&lt;='任务与甘特'!$U45),"■","")</x:f>
      </x:c>
      <x:c r="T44" s="56" t="str">
        <x:f>IF(AND(T$5&gt;='任务与甘特'!$T45,T$5&lt;='任务与甘特'!$U45),"■","")</x:f>
      </x:c>
      <x:c r="U44" s="56" t="str">
        <x:f>IF(AND(U$5&gt;='任务与甘特'!$T45,U$5&lt;='任务与甘特'!$U45),"■","")</x:f>
      </x:c>
      <x:c r="V44" s="56" t="str">
        <x:f>IF(AND(V$5&gt;='任务与甘特'!$T45,V$5&lt;='任务与甘特'!$U45),"■","")</x:f>
      </x:c>
      <x:c r="W44" s="56" t="str">
        <x:f>IF(AND(W$5&gt;='任务与甘特'!$T45,W$5&lt;='任务与甘特'!$U45),"■","")</x:f>
      </x:c>
      <x:c r="X44" s="56" t="str">
        <x:f>IF(AND(X$5&gt;='任务与甘特'!$T45,X$5&lt;='任务与甘特'!$U45),"■","")</x:f>
      </x:c>
      <x:c r="Y44" s="56" t="str">
        <x:f>IF(AND(Y$5&gt;='任务与甘特'!$T45,Y$5&lt;='任务与甘特'!$U45),"■","")</x:f>
      </x:c>
      <x:c r="Z44" s="56" t="str">
        <x:f>IF(AND(Z$5&gt;='任务与甘特'!$T45,Z$5&lt;='任务与甘特'!$U45),"■","")</x:f>
      </x:c>
      <x:c r="AA44" s="56" t="str">
        <x:f>IF(AND(AA$5&gt;='任务与甘特'!$T45,AA$5&lt;='任务与甘特'!$U45),"■","")</x:f>
      </x:c>
      <x:c r="AB44" s="56" t="str">
        <x:f>IF(AND(AB$5&gt;='任务与甘特'!$T45,AB$5&lt;='任务与甘特'!$U45),"■","")</x:f>
      </x:c>
      <x:c r="AC44" s="56" t="str">
        <x:f>IF(AND(AC$5&gt;='任务与甘特'!$T45,AC$5&lt;='任务与甘特'!$U45),"■","")</x:f>
      </x:c>
      <x:c r="AD44" s="56" t="str">
        <x:f>IF(AND(AD$5&gt;='任务与甘特'!$T45,AD$5&lt;='任务与甘特'!$U45),"■","")</x:f>
      </x:c>
      <x:c r="AE44" s="56" t="str">
        <x:f>IF(AND(AE$5&gt;='任务与甘特'!$T45,AE$5&lt;='任务与甘特'!$U45),"■","")</x:f>
      </x:c>
      <x:c r="AF44" s="56" t="str">
        <x:f>IF(AND(AF$5&gt;='任务与甘特'!$T45,AF$5&lt;='任务与甘特'!$U45),"■","")</x:f>
      </x:c>
      <x:c r="AG44" s="56" t="str">
        <x:f>IF(AND(AG$5&gt;='任务与甘特'!$T45,AG$5&lt;='任务与甘特'!$U45),"■","")</x:f>
      </x:c>
      <x:c r="AH44" s="56" t="str">
        <x:f>IF(AND(AH$5&gt;='任务与甘特'!$T45,AH$5&lt;='任务与甘特'!$U45),"■","")</x:f>
      </x:c>
      <x:c r="AI44" s="56" t="str">
        <x:f>IF(AND(AI$5&gt;='任务与甘特'!$T45,AI$5&lt;='任务与甘特'!$U45),"■","")</x:f>
      </x:c>
      <x:c r="AJ44" s="56" t="str">
        <x:f>IF(AND(AJ$5&gt;='任务与甘特'!$T45,AJ$5&lt;='任务与甘特'!$U45),"■","")</x:f>
      </x:c>
      <x:c r="AK44" s="56" t="str">
        <x:f>IF(AND(AK$5&gt;='任务与甘特'!$T45,AK$5&lt;='任务与甘特'!$U45),"■","")</x:f>
      </x:c>
      <x:c r="AL44" s="56" t="str">
        <x:f>IF(AND(AL$5&gt;='任务与甘特'!$T45,AL$5&lt;='任务与甘特'!$U45),"■","")</x:f>
      </x:c>
      <x:c r="AM44" s="56" t="str">
        <x:f>IF(AND(AM$5&gt;='任务与甘特'!$T45,AM$5&lt;='任务与甘特'!$U45),"■","")</x:f>
        <x:v>■</x:v>
      </x:c>
      <x:c r="AN44" s="56" t="str">
        <x:f>IF(AND(AN$5&gt;='任务与甘特'!$T45,AN$5&lt;='任务与甘特'!$U45),"■","")</x:f>
        <x:v>■</x:v>
      </x:c>
      <x:c r="AO44" s="56" t="str">
        <x:f>IF(AND(AO$5&gt;='任务与甘特'!$T45,AO$5&lt;='任务与甘特'!$U45),"■","")</x:f>
      </x:c>
      <x:c r="AP44" s="56" t="str">
        <x:f>IF(AND(AP$5&gt;='任务与甘特'!$T45,AP$5&lt;='任务与甘特'!$U45),"■","")</x:f>
      </x:c>
    </x:row>
    <x:row r="45" ht="38" customHeight="1">
      <x:c r="A45" s="29" t="str">
        <x:f>'任务与甘特'!A46</x:f>
        <x:v>T5.3</x:v>
      </x:c>
      <x:c r="B45" s="29" t="str">
        <x:f>'任务与甘特'!B46</x:f>
        <x:v>编写操作与开发维护说明</x:v>
      </x:c>
      <x:c r="C45" s="56" t="str">
        <x:f>IF(AND(C$5&gt;='任务与甘特'!$T46,C$5&lt;='任务与甘特'!$U46),"■","")</x:f>
      </x:c>
      <x:c r="D45" s="56" t="str">
        <x:f>IF(AND(D$5&gt;='任务与甘特'!$T46,D$5&lt;='任务与甘特'!$U46),"■","")</x:f>
      </x:c>
      <x:c r="E45" s="56" t="str">
        <x:f>IF(AND(E$5&gt;='任务与甘特'!$T46,E$5&lt;='任务与甘特'!$U46),"■","")</x:f>
      </x:c>
      <x:c r="F45" s="56" t="str">
        <x:f>IF(AND(F$5&gt;='任务与甘特'!$T46,F$5&lt;='任务与甘特'!$U46),"■","")</x:f>
      </x:c>
      <x:c r="G45" s="56" t="str">
        <x:f>IF(AND(G$5&gt;='任务与甘特'!$T46,G$5&lt;='任务与甘特'!$U46),"■","")</x:f>
      </x:c>
      <x:c r="H45" s="56" t="str">
        <x:f>IF(AND(H$5&gt;='任务与甘特'!$T46,H$5&lt;='任务与甘特'!$U46),"■","")</x:f>
      </x:c>
      <x:c r="I45" s="56" t="str">
        <x:f>IF(AND(I$5&gt;='任务与甘特'!$T46,I$5&lt;='任务与甘特'!$U46),"■","")</x:f>
      </x:c>
      <x:c r="J45" s="56" t="str">
        <x:f>IF(AND(J$5&gt;='任务与甘特'!$T46,J$5&lt;='任务与甘特'!$U46),"■","")</x:f>
      </x:c>
      <x:c r="K45" s="56" t="str">
        <x:f>IF(AND(K$5&gt;='任务与甘特'!$T46,K$5&lt;='任务与甘特'!$U46),"■","")</x:f>
      </x:c>
      <x:c r="L45" s="56" t="str">
        <x:f>IF(AND(L$5&gt;='任务与甘特'!$T46,L$5&lt;='任务与甘特'!$U46),"■","")</x:f>
      </x:c>
      <x:c r="M45" s="56" t="str">
        <x:f>IF(AND(M$5&gt;='任务与甘特'!$T46,M$5&lt;='任务与甘特'!$U46),"■","")</x:f>
      </x:c>
      <x:c r="N45" s="56" t="str">
        <x:f>IF(AND(N$5&gt;='任务与甘特'!$T46,N$5&lt;='任务与甘特'!$U46),"■","")</x:f>
      </x:c>
      <x:c r="O45" s="56" t="str">
        <x:f>IF(AND(O$5&gt;='任务与甘特'!$T46,O$5&lt;='任务与甘特'!$U46),"■","")</x:f>
      </x:c>
      <x:c r="P45" s="56" t="str">
        <x:f>IF(AND(P$5&gt;='任务与甘特'!$T46,P$5&lt;='任务与甘特'!$U46),"■","")</x:f>
      </x:c>
      <x:c r="Q45" s="56" t="str">
        <x:f>IF(AND(Q$5&gt;='任务与甘特'!$T46,Q$5&lt;='任务与甘特'!$U46),"■","")</x:f>
      </x:c>
      <x:c r="R45" s="56" t="str">
        <x:f>IF(AND(R$5&gt;='任务与甘特'!$T46,R$5&lt;='任务与甘特'!$U46),"■","")</x:f>
      </x:c>
      <x:c r="S45" s="56" t="str">
        <x:f>IF(AND(S$5&gt;='任务与甘特'!$T46,S$5&lt;='任务与甘特'!$U46),"■","")</x:f>
      </x:c>
      <x:c r="T45" s="56" t="str">
        <x:f>IF(AND(T$5&gt;='任务与甘特'!$T46,T$5&lt;='任务与甘特'!$U46),"■","")</x:f>
      </x:c>
      <x:c r="U45" s="56" t="str">
        <x:f>IF(AND(U$5&gt;='任务与甘特'!$T46,U$5&lt;='任务与甘特'!$U46),"■","")</x:f>
      </x:c>
      <x:c r="V45" s="56" t="str">
        <x:f>IF(AND(V$5&gt;='任务与甘特'!$T46,V$5&lt;='任务与甘特'!$U46),"■","")</x:f>
      </x:c>
      <x:c r="W45" s="56" t="str">
        <x:f>IF(AND(W$5&gt;='任务与甘特'!$T46,W$5&lt;='任务与甘特'!$U46),"■","")</x:f>
      </x:c>
      <x:c r="X45" s="56" t="str">
        <x:f>IF(AND(X$5&gt;='任务与甘特'!$T46,X$5&lt;='任务与甘特'!$U46),"■","")</x:f>
      </x:c>
      <x:c r="Y45" s="56" t="str">
        <x:f>IF(AND(Y$5&gt;='任务与甘特'!$T46,Y$5&lt;='任务与甘特'!$U46),"■","")</x:f>
      </x:c>
      <x:c r="Z45" s="56" t="str">
        <x:f>IF(AND(Z$5&gt;='任务与甘特'!$T46,Z$5&lt;='任务与甘特'!$U46),"■","")</x:f>
      </x:c>
      <x:c r="AA45" s="56" t="str">
        <x:f>IF(AND(AA$5&gt;='任务与甘特'!$T46,AA$5&lt;='任务与甘特'!$U46),"■","")</x:f>
      </x:c>
      <x:c r="AB45" s="56" t="str">
        <x:f>IF(AND(AB$5&gt;='任务与甘特'!$T46,AB$5&lt;='任务与甘特'!$U46),"■","")</x:f>
      </x:c>
      <x:c r="AC45" s="56" t="str">
        <x:f>IF(AND(AC$5&gt;='任务与甘特'!$T46,AC$5&lt;='任务与甘特'!$U46),"■","")</x:f>
      </x:c>
      <x:c r="AD45" s="56" t="str">
        <x:f>IF(AND(AD$5&gt;='任务与甘特'!$T46,AD$5&lt;='任务与甘特'!$U46),"■","")</x:f>
      </x:c>
      <x:c r="AE45" s="56" t="str">
        <x:f>IF(AND(AE$5&gt;='任务与甘特'!$T46,AE$5&lt;='任务与甘特'!$U46),"■","")</x:f>
      </x:c>
      <x:c r="AF45" s="56" t="str">
        <x:f>IF(AND(AF$5&gt;='任务与甘特'!$T46,AF$5&lt;='任务与甘特'!$U46),"■","")</x:f>
      </x:c>
      <x:c r="AG45" s="56" t="str">
        <x:f>IF(AND(AG$5&gt;='任务与甘特'!$T46,AG$5&lt;='任务与甘特'!$U46),"■","")</x:f>
        <x:v>■</x:v>
      </x:c>
      <x:c r="AH45" s="56" t="str">
        <x:f>IF(AND(AH$5&gt;='任务与甘特'!$T46,AH$5&lt;='任务与甘特'!$U46),"■","")</x:f>
        <x:v>■</x:v>
      </x:c>
      <x:c r="AI45" s="56" t="str">
        <x:f>IF(AND(AI$5&gt;='任务与甘特'!$T46,AI$5&lt;='任务与甘特'!$U46),"■","")</x:f>
        <x:v>■</x:v>
      </x:c>
      <x:c r="AJ45" s="56" t="str">
        <x:f>IF(AND(AJ$5&gt;='任务与甘特'!$T46,AJ$5&lt;='任务与甘特'!$U46),"■","")</x:f>
        <x:v>■</x:v>
      </x:c>
      <x:c r="AK45" s="56" t="str">
        <x:f>IF(AND(AK$5&gt;='任务与甘特'!$T46,AK$5&lt;='任务与甘特'!$U46),"■","")</x:f>
      </x:c>
      <x:c r="AL45" s="56" t="str">
        <x:f>IF(AND(AL$5&gt;='任务与甘特'!$T46,AL$5&lt;='任务与甘特'!$U46),"■","")</x:f>
      </x:c>
      <x:c r="AM45" s="56" t="str">
        <x:f>IF(AND(AM$5&gt;='任务与甘特'!$T46,AM$5&lt;='任务与甘特'!$U46),"■","")</x:f>
      </x:c>
      <x:c r="AN45" s="56" t="str">
        <x:f>IF(AND(AN$5&gt;='任务与甘特'!$T46,AN$5&lt;='任务与甘特'!$U46),"■","")</x:f>
      </x:c>
      <x:c r="AO45" s="56" t="str">
        <x:f>IF(AND(AO$5&gt;='任务与甘特'!$T46,AO$5&lt;='任务与甘特'!$U46),"■","")</x:f>
      </x:c>
      <x:c r="AP45" s="56" t="str">
        <x:f>IF(AND(AP$5&gt;='任务与甘特'!$T46,AP$5&lt;='任务与甘特'!$U46),"■","")</x:f>
      </x:c>
    </x:row>
    <x:row r="46" ht="38" customHeight="1">
      <x:c r="A46" s="29" t="str">
        <x:f>'任务与甘特'!A47</x:f>
        <x:v>T5.4</x:v>
      </x:c>
      <x:c r="B46" s="29" t="str">
        <x:f>'任务与甘特'!B47</x:f>
        <x:v>安排操作培训与演示</x:v>
      </x:c>
      <x:c r="C46" s="56" t="str">
        <x:f>IF(AND(C$5&gt;='任务与甘特'!$T47,C$5&lt;='任务与甘特'!$U47),"■","")</x:f>
      </x:c>
      <x:c r="D46" s="56" t="str">
        <x:f>IF(AND(D$5&gt;='任务与甘特'!$T47,D$5&lt;='任务与甘特'!$U47),"■","")</x:f>
      </x:c>
      <x:c r="E46" s="56" t="str">
        <x:f>IF(AND(E$5&gt;='任务与甘特'!$T47,E$5&lt;='任务与甘特'!$U47),"■","")</x:f>
      </x:c>
      <x:c r="F46" s="56" t="str">
        <x:f>IF(AND(F$5&gt;='任务与甘特'!$T47,F$5&lt;='任务与甘特'!$U47),"■","")</x:f>
      </x:c>
      <x:c r="G46" s="56" t="str">
        <x:f>IF(AND(G$5&gt;='任务与甘特'!$T47,G$5&lt;='任务与甘特'!$U47),"■","")</x:f>
      </x:c>
      <x:c r="H46" s="56" t="str">
        <x:f>IF(AND(H$5&gt;='任务与甘特'!$T47,H$5&lt;='任务与甘特'!$U47),"■","")</x:f>
      </x:c>
      <x:c r="I46" s="56" t="str">
        <x:f>IF(AND(I$5&gt;='任务与甘特'!$T47,I$5&lt;='任务与甘特'!$U47),"■","")</x:f>
      </x:c>
      <x:c r="J46" s="56" t="str">
        <x:f>IF(AND(J$5&gt;='任务与甘特'!$T47,J$5&lt;='任务与甘特'!$U47),"■","")</x:f>
      </x:c>
      <x:c r="K46" s="56" t="str">
        <x:f>IF(AND(K$5&gt;='任务与甘特'!$T47,K$5&lt;='任务与甘特'!$U47),"■","")</x:f>
      </x:c>
      <x:c r="L46" s="56" t="str">
        <x:f>IF(AND(L$5&gt;='任务与甘特'!$T47,L$5&lt;='任务与甘特'!$U47),"■","")</x:f>
      </x:c>
      <x:c r="M46" s="56" t="str">
        <x:f>IF(AND(M$5&gt;='任务与甘特'!$T47,M$5&lt;='任务与甘特'!$U47),"■","")</x:f>
      </x:c>
      <x:c r="N46" s="56" t="str">
        <x:f>IF(AND(N$5&gt;='任务与甘特'!$T47,N$5&lt;='任务与甘特'!$U47),"■","")</x:f>
      </x:c>
      <x:c r="O46" s="56" t="str">
        <x:f>IF(AND(O$5&gt;='任务与甘特'!$T47,O$5&lt;='任务与甘特'!$U47),"■","")</x:f>
      </x:c>
      <x:c r="P46" s="56" t="str">
        <x:f>IF(AND(P$5&gt;='任务与甘特'!$T47,P$5&lt;='任务与甘特'!$U47),"■","")</x:f>
      </x:c>
      <x:c r="Q46" s="56" t="str">
        <x:f>IF(AND(Q$5&gt;='任务与甘特'!$T47,Q$5&lt;='任务与甘特'!$U47),"■","")</x:f>
      </x:c>
      <x:c r="R46" s="56" t="str">
        <x:f>IF(AND(R$5&gt;='任务与甘特'!$T47,R$5&lt;='任务与甘特'!$U47),"■","")</x:f>
      </x:c>
      <x:c r="S46" s="56" t="str">
        <x:f>IF(AND(S$5&gt;='任务与甘特'!$T47,S$5&lt;='任务与甘特'!$U47),"■","")</x:f>
      </x:c>
      <x:c r="T46" s="56" t="str">
        <x:f>IF(AND(T$5&gt;='任务与甘特'!$T47,T$5&lt;='任务与甘特'!$U47),"■","")</x:f>
      </x:c>
      <x:c r="U46" s="56" t="str">
        <x:f>IF(AND(U$5&gt;='任务与甘特'!$T47,U$5&lt;='任务与甘特'!$U47),"■","")</x:f>
      </x:c>
      <x:c r="V46" s="56" t="str">
        <x:f>IF(AND(V$5&gt;='任务与甘特'!$T47,V$5&lt;='任务与甘特'!$U47),"■","")</x:f>
      </x:c>
      <x:c r="W46" s="56" t="str">
        <x:f>IF(AND(W$5&gt;='任务与甘特'!$T47,W$5&lt;='任务与甘特'!$U47),"■","")</x:f>
      </x:c>
      <x:c r="X46" s="56" t="str">
        <x:f>IF(AND(X$5&gt;='任务与甘特'!$T47,X$5&lt;='任务与甘特'!$U47),"■","")</x:f>
      </x:c>
      <x:c r="Y46" s="56" t="str">
        <x:f>IF(AND(Y$5&gt;='任务与甘特'!$T47,Y$5&lt;='任务与甘特'!$U47),"■","")</x:f>
      </x:c>
      <x:c r="Z46" s="56" t="str">
        <x:f>IF(AND(Z$5&gt;='任务与甘特'!$T47,Z$5&lt;='任务与甘特'!$U47),"■","")</x:f>
      </x:c>
      <x:c r="AA46" s="56" t="str">
        <x:f>IF(AND(AA$5&gt;='任务与甘特'!$T47,AA$5&lt;='任务与甘特'!$U47),"■","")</x:f>
      </x:c>
      <x:c r="AB46" s="56" t="str">
        <x:f>IF(AND(AB$5&gt;='任务与甘特'!$T47,AB$5&lt;='任务与甘特'!$U47),"■","")</x:f>
      </x:c>
      <x:c r="AC46" s="56" t="str">
        <x:f>IF(AND(AC$5&gt;='任务与甘特'!$T47,AC$5&lt;='任务与甘特'!$U47),"■","")</x:f>
      </x:c>
      <x:c r="AD46" s="56" t="str">
        <x:f>IF(AND(AD$5&gt;='任务与甘特'!$T47,AD$5&lt;='任务与甘特'!$U47),"■","")</x:f>
      </x:c>
      <x:c r="AE46" s="56" t="str">
        <x:f>IF(AND(AE$5&gt;='任务与甘特'!$T47,AE$5&lt;='任务与甘特'!$U47),"■","")</x:f>
      </x:c>
      <x:c r="AF46" s="56" t="str">
        <x:f>IF(AND(AF$5&gt;='任务与甘特'!$T47,AF$5&lt;='任务与甘特'!$U47),"■","")</x:f>
      </x:c>
      <x:c r="AG46" s="56" t="str">
        <x:f>IF(AND(AG$5&gt;='任务与甘特'!$T47,AG$5&lt;='任务与甘特'!$U47),"■","")</x:f>
      </x:c>
      <x:c r="AH46" s="56" t="str">
        <x:f>IF(AND(AH$5&gt;='任务与甘特'!$T47,AH$5&lt;='任务与甘特'!$U47),"■","")</x:f>
      </x:c>
      <x:c r="AI46" s="56" t="str">
        <x:f>IF(AND(AI$5&gt;='任务与甘特'!$T47,AI$5&lt;='任务与甘特'!$U47),"■","")</x:f>
      </x:c>
      <x:c r="AJ46" s="56" t="str">
        <x:f>IF(AND(AJ$5&gt;='任务与甘特'!$T47,AJ$5&lt;='任务与甘特'!$U47),"■","")</x:f>
      </x:c>
      <x:c r="AK46" s="56" t="str">
        <x:f>IF(AND(AK$5&gt;='任务与甘特'!$T47,AK$5&lt;='任务与甘特'!$U47),"■","")</x:f>
      </x:c>
      <x:c r="AL46" s="56" t="str">
        <x:f>IF(AND(AL$5&gt;='任务与甘特'!$T47,AL$5&lt;='任务与甘特'!$U47),"■","")</x:f>
      </x:c>
      <x:c r="AM46" s="56" t="str">
        <x:f>IF(AND(AM$5&gt;='任务与甘特'!$T47,AM$5&lt;='任务与甘特'!$U47),"■","")</x:f>
      </x:c>
      <x:c r="AN46" s="56" t="str">
        <x:f>IF(AND(AN$5&gt;='任务与甘特'!$T47,AN$5&lt;='任务与甘特'!$U47),"■","")</x:f>
      </x:c>
      <x:c r="AO46" s="56" t="str">
        <x:f>IF(AND(AO$5&gt;='任务与甘特'!$T47,AO$5&lt;='任务与甘特'!$U47),"■","")</x:f>
        <x:v>■</x:v>
      </x:c>
      <x:c r="AP46" s="56" t="str">
        <x:f>IF(AND(AP$5&gt;='任务与甘特'!$T47,AP$5&lt;='任务与甘特'!$U47),"■","")</x:f>
      </x:c>
    </x:row>
    <x:row r="47" ht="38" customHeight="1">
      <x:c r="A47" s="29" t="str">
        <x:f>'任务与甘特'!A48</x:f>
        <x:v>T5.5</x:v>
      </x:c>
      <x:c r="B47" s="29" t="str">
        <x:f>'任务与甘特'!B48</x:f>
        <x:v>整理代码、配置和验证证据</x:v>
      </x:c>
      <x:c r="C47" s="56" t="str">
        <x:f>IF(AND(C$5&gt;='任务与甘特'!$T48,C$5&lt;='任务与甘特'!$U48),"■","")</x:f>
      </x:c>
      <x:c r="D47" s="56" t="str">
        <x:f>IF(AND(D$5&gt;='任务与甘特'!$T48,D$5&lt;='任务与甘特'!$U48),"■","")</x:f>
      </x:c>
      <x:c r="E47" s="56" t="str">
        <x:f>IF(AND(E$5&gt;='任务与甘特'!$T48,E$5&lt;='任务与甘特'!$U48),"■","")</x:f>
      </x:c>
      <x:c r="F47" s="56" t="str">
        <x:f>IF(AND(F$5&gt;='任务与甘特'!$T48,F$5&lt;='任务与甘特'!$U48),"■","")</x:f>
      </x:c>
      <x:c r="G47" s="56" t="str">
        <x:f>IF(AND(G$5&gt;='任务与甘特'!$T48,G$5&lt;='任务与甘特'!$U48),"■","")</x:f>
      </x:c>
      <x:c r="H47" s="56" t="str">
        <x:f>IF(AND(H$5&gt;='任务与甘特'!$T48,H$5&lt;='任务与甘特'!$U48),"■","")</x:f>
      </x:c>
      <x:c r="I47" s="56" t="str">
        <x:f>IF(AND(I$5&gt;='任务与甘特'!$T48,I$5&lt;='任务与甘特'!$U48),"■","")</x:f>
      </x:c>
      <x:c r="J47" s="56" t="str">
        <x:f>IF(AND(J$5&gt;='任务与甘特'!$T48,J$5&lt;='任务与甘特'!$U48),"■","")</x:f>
      </x:c>
      <x:c r="K47" s="56" t="str">
        <x:f>IF(AND(K$5&gt;='任务与甘特'!$T48,K$5&lt;='任务与甘特'!$U48),"■","")</x:f>
      </x:c>
      <x:c r="L47" s="56" t="str">
        <x:f>IF(AND(L$5&gt;='任务与甘特'!$T48,L$5&lt;='任务与甘特'!$U48),"■","")</x:f>
      </x:c>
      <x:c r="M47" s="56" t="str">
        <x:f>IF(AND(M$5&gt;='任务与甘特'!$T48,M$5&lt;='任务与甘特'!$U48),"■","")</x:f>
      </x:c>
      <x:c r="N47" s="56" t="str">
        <x:f>IF(AND(N$5&gt;='任务与甘特'!$T48,N$5&lt;='任务与甘特'!$U48),"■","")</x:f>
      </x:c>
      <x:c r="O47" s="56" t="str">
        <x:f>IF(AND(O$5&gt;='任务与甘特'!$T48,O$5&lt;='任务与甘特'!$U48),"■","")</x:f>
      </x:c>
      <x:c r="P47" s="56" t="str">
        <x:f>IF(AND(P$5&gt;='任务与甘特'!$T48,P$5&lt;='任务与甘特'!$U48),"■","")</x:f>
      </x:c>
      <x:c r="Q47" s="56" t="str">
        <x:f>IF(AND(Q$5&gt;='任务与甘特'!$T48,Q$5&lt;='任务与甘特'!$U48),"■","")</x:f>
      </x:c>
      <x:c r="R47" s="56" t="str">
        <x:f>IF(AND(R$5&gt;='任务与甘特'!$T48,R$5&lt;='任务与甘特'!$U48),"■","")</x:f>
      </x:c>
      <x:c r="S47" s="56" t="str">
        <x:f>IF(AND(S$5&gt;='任务与甘特'!$T48,S$5&lt;='任务与甘特'!$U48),"■","")</x:f>
      </x:c>
      <x:c r="T47" s="56" t="str">
        <x:f>IF(AND(T$5&gt;='任务与甘特'!$T48,T$5&lt;='任务与甘特'!$U48),"■","")</x:f>
      </x:c>
      <x:c r="U47" s="56" t="str">
        <x:f>IF(AND(U$5&gt;='任务与甘特'!$T48,U$5&lt;='任务与甘特'!$U48),"■","")</x:f>
      </x:c>
      <x:c r="V47" s="56" t="str">
        <x:f>IF(AND(V$5&gt;='任务与甘特'!$T48,V$5&lt;='任务与甘特'!$U48),"■","")</x:f>
      </x:c>
      <x:c r="W47" s="56" t="str">
        <x:f>IF(AND(W$5&gt;='任务与甘特'!$T48,W$5&lt;='任务与甘特'!$U48),"■","")</x:f>
      </x:c>
      <x:c r="X47" s="56" t="str">
        <x:f>IF(AND(X$5&gt;='任务与甘特'!$T48,X$5&lt;='任务与甘特'!$U48),"■","")</x:f>
      </x:c>
      <x:c r="Y47" s="56" t="str">
        <x:f>IF(AND(Y$5&gt;='任务与甘特'!$T48,Y$5&lt;='任务与甘特'!$U48),"■","")</x:f>
      </x:c>
      <x:c r="Z47" s="56" t="str">
        <x:f>IF(AND(Z$5&gt;='任务与甘特'!$T48,Z$5&lt;='任务与甘特'!$U48),"■","")</x:f>
      </x:c>
      <x:c r="AA47" s="56" t="str">
        <x:f>IF(AND(AA$5&gt;='任务与甘特'!$T48,AA$5&lt;='任务与甘特'!$U48),"■","")</x:f>
      </x:c>
      <x:c r="AB47" s="56" t="str">
        <x:f>IF(AND(AB$5&gt;='任务与甘特'!$T48,AB$5&lt;='任务与甘特'!$U48),"■","")</x:f>
      </x:c>
      <x:c r="AC47" s="56" t="str">
        <x:f>IF(AND(AC$5&gt;='任务与甘特'!$T48,AC$5&lt;='任务与甘特'!$U48),"■","")</x:f>
      </x:c>
      <x:c r="AD47" s="56" t="str">
        <x:f>IF(AND(AD$5&gt;='任务与甘特'!$T48,AD$5&lt;='任务与甘特'!$U48),"■","")</x:f>
      </x:c>
      <x:c r="AE47" s="56" t="str">
        <x:f>IF(AND(AE$5&gt;='任务与甘特'!$T48,AE$5&lt;='任务与甘特'!$U48),"■","")</x:f>
      </x:c>
      <x:c r="AF47" s="56" t="str">
        <x:f>IF(AND(AF$5&gt;='任务与甘特'!$T48,AF$5&lt;='任务与甘特'!$U48),"■","")</x:f>
      </x:c>
      <x:c r="AG47" s="56" t="str">
        <x:f>IF(AND(AG$5&gt;='任务与甘特'!$T48,AG$5&lt;='任务与甘特'!$U48),"■","")</x:f>
      </x:c>
      <x:c r="AH47" s="56" t="str">
        <x:f>IF(AND(AH$5&gt;='任务与甘特'!$T48,AH$5&lt;='任务与甘特'!$U48),"■","")</x:f>
      </x:c>
      <x:c r="AI47" s="56" t="str">
        <x:f>IF(AND(AI$5&gt;='任务与甘特'!$T48,AI$5&lt;='任务与甘特'!$U48),"■","")</x:f>
      </x:c>
      <x:c r="AJ47" s="56" t="str">
        <x:f>IF(AND(AJ$5&gt;='任务与甘特'!$T48,AJ$5&lt;='任务与甘特'!$U48),"■","")</x:f>
      </x:c>
      <x:c r="AK47" s="56" t="str">
        <x:f>IF(AND(AK$5&gt;='任务与甘特'!$T48,AK$5&lt;='任务与甘特'!$U48),"■","")</x:f>
      </x:c>
      <x:c r="AL47" s="56" t="str">
        <x:f>IF(AND(AL$5&gt;='任务与甘特'!$T48,AL$5&lt;='任务与甘特'!$U48),"■","")</x:f>
      </x:c>
      <x:c r="AM47" s="56" t="str">
        <x:f>IF(AND(AM$5&gt;='任务与甘特'!$T48,AM$5&lt;='任务与甘特'!$U48),"■","")</x:f>
        <x:v>■</x:v>
      </x:c>
      <x:c r="AN47" s="56" t="str">
        <x:f>IF(AND(AN$5&gt;='任务与甘特'!$T48,AN$5&lt;='任务与甘特'!$U48),"■","")</x:f>
        <x:v>■</x:v>
      </x:c>
      <x:c r="AO47" s="56" t="str">
        <x:f>IF(AND(AO$5&gt;='任务与甘特'!$T48,AO$5&lt;='任务与甘特'!$U48),"■","")</x:f>
      </x:c>
      <x:c r="AP47" s="56" t="str">
        <x:f>IF(AND(AP$5&gt;='任务与甘特'!$T48,AP$5&lt;='任务与甘特'!$U48),"■","")</x:f>
      </x:c>
    </x:row>
    <x:row r="48" ht="38" customHeight="1">
      <x:c r="A48" s="29" t="str">
        <x:f>'任务与甘特'!A49</x:f>
        <x:v>T5.6</x:v>
      </x:c>
      <x:c r="B48" s="29" t="str">
        <x:f>'任务与甘特'!B49</x:f>
        <x:v>完成最终项目验收</x:v>
      </x:c>
      <x:c r="C48" s="56" t="str">
        <x:f>IF(AND(C$5&gt;='任务与甘特'!$T49,C$5&lt;='任务与甘特'!$U49),"■","")</x:f>
      </x:c>
      <x:c r="D48" s="56" t="str">
        <x:f>IF(AND(D$5&gt;='任务与甘特'!$T49,D$5&lt;='任务与甘特'!$U49),"■","")</x:f>
      </x:c>
      <x:c r="E48" s="56" t="str">
        <x:f>IF(AND(E$5&gt;='任务与甘特'!$T49,E$5&lt;='任务与甘特'!$U49),"■","")</x:f>
      </x:c>
      <x:c r="F48" s="56" t="str">
        <x:f>IF(AND(F$5&gt;='任务与甘特'!$T49,F$5&lt;='任务与甘特'!$U49),"■","")</x:f>
      </x:c>
      <x:c r="G48" s="56" t="str">
        <x:f>IF(AND(G$5&gt;='任务与甘特'!$T49,G$5&lt;='任务与甘特'!$U49),"■","")</x:f>
      </x:c>
      <x:c r="H48" s="56" t="str">
        <x:f>IF(AND(H$5&gt;='任务与甘特'!$T49,H$5&lt;='任务与甘特'!$U49),"■","")</x:f>
      </x:c>
      <x:c r="I48" s="56" t="str">
        <x:f>IF(AND(I$5&gt;='任务与甘特'!$T49,I$5&lt;='任务与甘特'!$U49),"■","")</x:f>
      </x:c>
      <x:c r="J48" s="56" t="str">
        <x:f>IF(AND(J$5&gt;='任务与甘特'!$T49,J$5&lt;='任务与甘特'!$U49),"■","")</x:f>
      </x:c>
      <x:c r="K48" s="56" t="str">
        <x:f>IF(AND(K$5&gt;='任务与甘特'!$T49,K$5&lt;='任务与甘特'!$U49),"■","")</x:f>
      </x:c>
      <x:c r="L48" s="56" t="str">
        <x:f>IF(AND(L$5&gt;='任务与甘特'!$T49,L$5&lt;='任务与甘特'!$U49),"■","")</x:f>
      </x:c>
      <x:c r="M48" s="56" t="str">
        <x:f>IF(AND(M$5&gt;='任务与甘特'!$T49,M$5&lt;='任务与甘特'!$U49),"■","")</x:f>
      </x:c>
      <x:c r="N48" s="56" t="str">
        <x:f>IF(AND(N$5&gt;='任务与甘特'!$T49,N$5&lt;='任务与甘特'!$U49),"■","")</x:f>
      </x:c>
      <x:c r="O48" s="56" t="str">
        <x:f>IF(AND(O$5&gt;='任务与甘特'!$T49,O$5&lt;='任务与甘特'!$U49),"■","")</x:f>
      </x:c>
      <x:c r="P48" s="56" t="str">
        <x:f>IF(AND(P$5&gt;='任务与甘特'!$T49,P$5&lt;='任务与甘特'!$U49),"■","")</x:f>
      </x:c>
      <x:c r="Q48" s="56" t="str">
        <x:f>IF(AND(Q$5&gt;='任务与甘特'!$T49,Q$5&lt;='任务与甘特'!$U49),"■","")</x:f>
      </x:c>
      <x:c r="R48" s="56" t="str">
        <x:f>IF(AND(R$5&gt;='任务与甘特'!$T49,R$5&lt;='任务与甘特'!$U49),"■","")</x:f>
      </x:c>
      <x:c r="S48" s="56" t="str">
        <x:f>IF(AND(S$5&gt;='任务与甘特'!$T49,S$5&lt;='任务与甘特'!$U49),"■","")</x:f>
      </x:c>
      <x:c r="T48" s="56" t="str">
        <x:f>IF(AND(T$5&gt;='任务与甘特'!$T49,T$5&lt;='任务与甘特'!$U49),"■","")</x:f>
      </x:c>
      <x:c r="U48" s="56" t="str">
        <x:f>IF(AND(U$5&gt;='任务与甘特'!$T49,U$5&lt;='任务与甘特'!$U49),"■","")</x:f>
      </x:c>
      <x:c r="V48" s="56" t="str">
        <x:f>IF(AND(V$5&gt;='任务与甘特'!$T49,V$5&lt;='任务与甘特'!$U49),"■","")</x:f>
      </x:c>
      <x:c r="W48" s="56" t="str">
        <x:f>IF(AND(W$5&gt;='任务与甘特'!$T49,W$5&lt;='任务与甘特'!$U49),"■","")</x:f>
      </x:c>
      <x:c r="X48" s="56" t="str">
        <x:f>IF(AND(X$5&gt;='任务与甘特'!$T49,X$5&lt;='任务与甘特'!$U49),"■","")</x:f>
      </x:c>
      <x:c r="Y48" s="56" t="str">
        <x:f>IF(AND(Y$5&gt;='任务与甘特'!$T49,Y$5&lt;='任务与甘特'!$U49),"■","")</x:f>
      </x:c>
      <x:c r="Z48" s="56" t="str">
        <x:f>IF(AND(Z$5&gt;='任务与甘特'!$T49,Z$5&lt;='任务与甘特'!$U49),"■","")</x:f>
      </x:c>
      <x:c r="AA48" s="56" t="str">
        <x:f>IF(AND(AA$5&gt;='任务与甘特'!$T49,AA$5&lt;='任务与甘特'!$U49),"■","")</x:f>
      </x:c>
      <x:c r="AB48" s="56" t="str">
        <x:f>IF(AND(AB$5&gt;='任务与甘特'!$T49,AB$5&lt;='任务与甘特'!$U49),"■","")</x:f>
      </x:c>
      <x:c r="AC48" s="56" t="str">
        <x:f>IF(AND(AC$5&gt;='任务与甘特'!$T49,AC$5&lt;='任务与甘特'!$U49),"■","")</x:f>
      </x:c>
      <x:c r="AD48" s="56" t="str">
        <x:f>IF(AND(AD$5&gt;='任务与甘特'!$T49,AD$5&lt;='任务与甘特'!$U49),"■","")</x:f>
      </x:c>
      <x:c r="AE48" s="56" t="str">
        <x:f>IF(AND(AE$5&gt;='任务与甘特'!$T49,AE$5&lt;='任务与甘特'!$U49),"■","")</x:f>
      </x:c>
      <x:c r="AF48" s="56" t="str">
        <x:f>IF(AND(AF$5&gt;='任务与甘特'!$T49,AF$5&lt;='任务与甘特'!$U49),"■","")</x:f>
      </x:c>
      <x:c r="AG48" s="56" t="str">
        <x:f>IF(AND(AG$5&gt;='任务与甘特'!$T49,AG$5&lt;='任务与甘特'!$U49),"■","")</x:f>
      </x:c>
      <x:c r="AH48" s="56" t="str">
        <x:f>IF(AND(AH$5&gt;='任务与甘特'!$T49,AH$5&lt;='任务与甘特'!$U49),"■","")</x:f>
      </x:c>
      <x:c r="AI48" s="56" t="str">
        <x:f>IF(AND(AI$5&gt;='任务与甘特'!$T49,AI$5&lt;='任务与甘特'!$U49),"■","")</x:f>
      </x:c>
      <x:c r="AJ48" s="56" t="str">
        <x:f>IF(AND(AJ$5&gt;='任务与甘特'!$T49,AJ$5&lt;='任务与甘特'!$U49),"■","")</x:f>
      </x:c>
      <x:c r="AK48" s="56" t="str">
        <x:f>IF(AND(AK$5&gt;='任务与甘特'!$T49,AK$5&lt;='任务与甘特'!$U49),"■","")</x:f>
      </x:c>
      <x:c r="AL48" s="56" t="str">
        <x:f>IF(AND(AL$5&gt;='任务与甘特'!$T49,AL$5&lt;='任务与甘特'!$U49),"■","")</x:f>
      </x:c>
      <x:c r="AM48" s="56" t="str">
        <x:f>IF(AND(AM$5&gt;='任务与甘特'!$T49,AM$5&lt;='任务与甘特'!$U49),"■","")</x:f>
      </x:c>
      <x:c r="AN48" s="56" t="str">
        <x:f>IF(AND(AN$5&gt;='任务与甘特'!$T49,AN$5&lt;='任务与甘特'!$U49),"■","")</x:f>
      </x:c>
      <x:c r="AO48" s="56" t="str">
        <x:f>IF(AND(AO$5&gt;='任务与甘特'!$T49,AO$5&lt;='任务与甘特'!$U49),"■","")</x:f>
      </x:c>
      <x:c r="AP48" s="56" t="str">
        <x:f>IF(AND(AP$5&gt;='任务与甘特'!$T49,AP$5&lt;='任务与甘特'!$U49),"■","")</x:f>
        <x:v>■</x:v>
      </x:c>
    </x:row>
    <x:row r="49" ht="38" customHeight="1">
      <x:c r="A49" s="29" t="str">
        <x:f>'任务与甘特'!A50</x:f>
        <x:v>T5.7</x:v>
      </x:c>
      <x:c r="B49" s="29" t="str">
        <x:f>'任务与甘特'!B50</x:f>
        <x:v>汇总8周模拟的最终项目计划</x:v>
      </x:c>
      <x:c r="C49" s="56" t="str">
        <x:f>IF(AND(C$5&gt;='任务与甘特'!$T50,C$5&lt;='任务与甘特'!$U50),"■","")</x:f>
      </x:c>
      <x:c r="D49" s="56" t="str">
        <x:f>IF(AND(D$5&gt;='任务与甘特'!$T50,D$5&lt;='任务与甘特'!$U50),"■","")</x:f>
      </x:c>
      <x:c r="E49" s="56" t="str">
        <x:f>IF(AND(E$5&gt;='任务与甘特'!$T50,E$5&lt;='任务与甘特'!$U50),"■","")</x:f>
      </x:c>
      <x:c r="F49" s="56" t="str">
        <x:f>IF(AND(F$5&gt;='任务与甘特'!$T50,F$5&lt;='任务与甘特'!$U50),"■","")</x:f>
      </x:c>
      <x:c r="G49" s="56" t="str">
        <x:f>IF(AND(G$5&gt;='任务与甘特'!$T50,G$5&lt;='任务与甘特'!$U50),"■","")</x:f>
      </x:c>
      <x:c r="H49" s="56" t="str">
        <x:f>IF(AND(H$5&gt;='任务与甘特'!$T50,H$5&lt;='任务与甘特'!$U50),"■","")</x:f>
      </x:c>
      <x:c r="I49" s="56" t="str">
        <x:f>IF(AND(I$5&gt;='任务与甘特'!$T50,I$5&lt;='任务与甘特'!$U50),"■","")</x:f>
      </x:c>
      <x:c r="J49" s="56" t="str">
        <x:f>IF(AND(J$5&gt;='任务与甘特'!$T50,J$5&lt;='任务与甘特'!$U50),"■","")</x:f>
      </x:c>
      <x:c r="K49" s="56" t="str">
        <x:f>IF(AND(K$5&gt;='任务与甘特'!$T50,K$5&lt;='任务与甘特'!$U50),"■","")</x:f>
      </x:c>
      <x:c r="L49" s="56" t="str">
        <x:f>IF(AND(L$5&gt;='任务与甘特'!$T50,L$5&lt;='任务与甘特'!$U50),"■","")</x:f>
      </x:c>
      <x:c r="M49" s="56" t="str">
        <x:f>IF(AND(M$5&gt;='任务与甘特'!$T50,M$5&lt;='任务与甘特'!$U50),"■","")</x:f>
      </x:c>
      <x:c r="N49" s="56" t="str">
        <x:f>IF(AND(N$5&gt;='任务与甘特'!$T50,N$5&lt;='任务与甘特'!$U50),"■","")</x:f>
      </x:c>
      <x:c r="O49" s="56" t="str">
        <x:f>IF(AND(O$5&gt;='任务与甘特'!$T50,O$5&lt;='任务与甘特'!$U50),"■","")</x:f>
      </x:c>
      <x:c r="P49" s="56" t="str">
        <x:f>IF(AND(P$5&gt;='任务与甘特'!$T50,P$5&lt;='任务与甘特'!$U50),"■","")</x:f>
      </x:c>
      <x:c r="Q49" s="56" t="str">
        <x:f>IF(AND(Q$5&gt;='任务与甘特'!$T50,Q$5&lt;='任务与甘特'!$U50),"■","")</x:f>
      </x:c>
      <x:c r="R49" s="56" t="str">
        <x:f>IF(AND(R$5&gt;='任务与甘特'!$T50,R$5&lt;='任务与甘特'!$U50),"■","")</x:f>
      </x:c>
      <x:c r="S49" s="56" t="str">
        <x:f>IF(AND(S$5&gt;='任务与甘特'!$T50,S$5&lt;='任务与甘特'!$U50),"■","")</x:f>
      </x:c>
      <x:c r="T49" s="56" t="str">
        <x:f>IF(AND(T$5&gt;='任务与甘特'!$T50,T$5&lt;='任务与甘特'!$U50),"■","")</x:f>
      </x:c>
      <x:c r="U49" s="56" t="str">
        <x:f>IF(AND(U$5&gt;='任务与甘特'!$T50,U$5&lt;='任务与甘特'!$U50),"■","")</x:f>
      </x:c>
      <x:c r="V49" s="56" t="str">
        <x:f>IF(AND(V$5&gt;='任务与甘特'!$T50,V$5&lt;='任务与甘特'!$U50),"■","")</x:f>
      </x:c>
      <x:c r="W49" s="56" t="str">
        <x:f>IF(AND(W$5&gt;='任务与甘特'!$T50,W$5&lt;='任务与甘特'!$U50),"■","")</x:f>
      </x:c>
      <x:c r="X49" s="56" t="str">
        <x:f>IF(AND(X$5&gt;='任务与甘特'!$T50,X$5&lt;='任务与甘特'!$U50),"■","")</x:f>
      </x:c>
      <x:c r="Y49" s="56" t="str">
        <x:f>IF(AND(Y$5&gt;='任务与甘特'!$T50,Y$5&lt;='任务与甘特'!$U50),"■","")</x:f>
      </x:c>
      <x:c r="Z49" s="56" t="str">
        <x:f>IF(AND(Z$5&gt;='任务与甘特'!$T50,Z$5&lt;='任务与甘特'!$U50),"■","")</x:f>
      </x:c>
      <x:c r="AA49" s="56" t="str">
        <x:f>IF(AND(AA$5&gt;='任务与甘特'!$T50,AA$5&lt;='任务与甘特'!$U50),"■","")</x:f>
      </x:c>
      <x:c r="AB49" s="56" t="str">
        <x:f>IF(AND(AB$5&gt;='任务与甘特'!$T50,AB$5&lt;='任务与甘特'!$U50),"■","")</x:f>
      </x:c>
      <x:c r="AC49" s="56" t="str">
        <x:f>IF(AND(AC$5&gt;='任务与甘特'!$T50,AC$5&lt;='任务与甘特'!$U50),"■","")</x:f>
      </x:c>
      <x:c r="AD49" s="56" t="str">
        <x:f>IF(AND(AD$5&gt;='任务与甘特'!$T50,AD$5&lt;='任务与甘特'!$U50),"■","")</x:f>
      </x:c>
      <x:c r="AE49" s="56" t="str">
        <x:f>IF(AND(AE$5&gt;='任务与甘特'!$T50,AE$5&lt;='任务与甘特'!$U50),"■","")</x:f>
      </x:c>
      <x:c r="AF49" s="56" t="str">
        <x:f>IF(AND(AF$5&gt;='任务与甘特'!$T50,AF$5&lt;='任务与甘特'!$U50),"■","")</x:f>
      </x:c>
      <x:c r="AG49" s="56" t="str">
        <x:f>IF(AND(AG$5&gt;='任务与甘特'!$T50,AG$5&lt;='任务与甘特'!$U50),"■","")</x:f>
      </x:c>
      <x:c r="AH49" s="56" t="str">
        <x:f>IF(AND(AH$5&gt;='任务与甘特'!$T50,AH$5&lt;='任务与甘特'!$U50),"■","")</x:f>
      </x:c>
      <x:c r="AI49" s="56" t="str">
        <x:f>IF(AND(AI$5&gt;='任务与甘特'!$T50,AI$5&lt;='任务与甘特'!$U50),"■","")</x:f>
      </x:c>
      <x:c r="AJ49" s="56" t="str">
        <x:f>IF(AND(AJ$5&gt;='任务与甘特'!$T50,AJ$5&lt;='任务与甘特'!$U50),"■","")</x:f>
      </x:c>
      <x:c r="AK49" s="56" t="str">
        <x:f>IF(AND(AK$5&gt;='任务与甘特'!$T50,AK$5&lt;='任务与甘特'!$U50),"■","")</x:f>
      </x:c>
      <x:c r="AL49" s="56" t="str">
        <x:f>IF(AND(AL$5&gt;='任务与甘特'!$T50,AL$5&lt;='任务与甘特'!$U50),"■","")</x:f>
      </x:c>
      <x:c r="AM49" s="56" t="str">
        <x:f>IF(AND(AM$5&gt;='任务与甘特'!$T50,AM$5&lt;='任务与甘特'!$U50),"■","")</x:f>
      </x:c>
      <x:c r="AN49" s="56" t="str">
        <x:f>IF(AND(AN$5&gt;='任务与甘特'!$T50,AN$5&lt;='任务与甘特'!$U50),"■","")</x:f>
      </x:c>
      <x:c r="AO49" s="56" t="str">
        <x:f>IF(AND(AO$5&gt;='任务与甘特'!$T50,AO$5&lt;='任务与甘特'!$U50),"■","")</x:f>
      </x:c>
      <x:c r="AP49" s="56" t="str">
        <x:f>IF(AND(AP$5&gt;='任务与甘特'!$T50,AP$5&lt;='任务与甘特'!$U50),"■","")</x:f>
        <x:v>■</x:v>
      </x:c>
    </x:row>
  </x:sheetData>
  <x:mergeCells>
    <x:mergeCell ref="C4:G4"/>
    <x:mergeCell ref="H4:L4"/>
    <x:mergeCell ref="M4:Q4"/>
    <x:mergeCell ref="R4:V4"/>
    <x:mergeCell ref="W4:AA4"/>
    <x:mergeCell ref="AB4:AF4"/>
    <x:mergeCell ref="AG4:AK4"/>
    <x:mergeCell ref="AL4:AP4"/>
  </x:mergeCells>
  <x:pageMargins left="0.7" right="0.7" top="0.75" bottom="0.75" header="0.3" footer="0.3"/>
</x:worksheet>
</file>