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ab4b662f9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表" sheetId="1" r:id="Rb0076badfe8045dd"/>
    <x:sheet xmlns:r="http://schemas.openxmlformats.org/officeDocument/2006/relationships" name="任务与甘特" sheetId="2" r:id="R196f536f9cff4ca9"/>
    <x:sheet xmlns:r="http://schemas.openxmlformats.org/officeDocument/2006/relationships" name="资源计划" sheetId="3" r:id="R3b664ec1103a422a"/>
    <x:sheet xmlns:r="http://schemas.openxmlformats.org/officeDocument/2006/relationships" name="成本预算" sheetId="4" r:id="Rce87b4ae43a8476c"/>
    <x:sheet xmlns:r="http://schemas.openxmlformats.org/officeDocument/2006/relationships" name="质量与变更" sheetId="5" r:id="R69773a7453474886"/>
    <x:sheet xmlns:r="http://schemas.openxmlformats.org/officeDocument/2006/relationships" name="日期甘特" sheetId="6" r:id="R4e08418ace81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#0.00"/>
    <x:numFmt numFmtId="202" formatCode="@"/>
    <x:numFmt numFmtId="203" formatCode="&quot;W&quot;0"/>
    <x:numFmt numFmtId="204" formatCode="0.0"/>
    <x:numFmt numFmtId="205" formatCode="0.0%"/>
    <x:numFmt numFmtId="206" formatCode="0.00"/>
    <x:numFmt numFmtId="207" formatCode="0"/>
    <x:numFmt numFmtId="208" formatCode="m/d"/>
  </x:numFmts>
  <x:fonts count="8">
    <x:font>
      <x:sz val="11"/>
      <x:name val="Carlito"/>
    </x:font>
    <x:font>
      <x:sz val="11"/>
      <x:color rgb="FF111111"/>
      <x:name val="SimSun"/>
    </x:font>
    <x:font>
      <x:b/>
      <x:sz val="16"/>
      <x:color rgb="FF111111"/>
      <x:name val="SimSun"/>
    </x:font>
    <x:font>
      <x:i/>
      <x:sz val="11"/>
      <x:color rgb="FF111111"/>
      <x:name val="SimSun"/>
    </x:font>
    <x:font>
      <x:b/>
      <x:sz val="11"/>
      <x:color rgb="FF111111"/>
      <x:name val="SimSun"/>
    </x:font>
    <x:font>
      <x:b/>
      <x:i/>
      <x:sz val="11"/>
      <x:color rgb="FF111111"/>
      <x:name val="SimSun"/>
    </x:font>
    <x:font>
      <x:sz val="10.5"/>
      <x:color rgb="FF111111"/>
      <x:name val="SimSun"/>
    </x:font>
    <x:font>
      <x:b/>
      <x:sz val="10.5"/>
      <x:color rgb="FF111111"/>
      <x:name val="SimSu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1" fontId="3" fillId="2" borderId="1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3" fontId="4" fillId="2" borderId="1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201" fontId="1" fillId="2" borderId="0" xfId="0" applyNumberFormat="1" applyFont="1" applyFill="1" applyBorder="1" applyAlignment="1">
      <x:alignment vertical="center" wrapText="1"/>
    </x:xf>
    <x:xf numFmtId="201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205" fontId="6" fillId="3" borderId="1" xfId="0" applyNumberFormat="1" applyFont="1" applyFill="1" applyBorder="1" applyAlignment="1">
      <x:alignment vertical="center" wrapText="1"/>
    </x:xf>
    <x:xf numFmtId="206" fontId="6" fillId="3" borderId="1" xfId="0" applyNumberFormat="1" applyFont="1" applyFill="1" applyBorder="1" applyAlignment="1">
      <x:alignment vertical="center" wrapText="1"/>
    </x:xf>
    <x:xf numFmtId="201" fontId="6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207" fontId="6" fillId="3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205" fontId="1" fillId="2" borderId="1" xfId="0" applyNumberFormat="1" applyFont="1" applyFill="1" applyBorder="1" applyAlignment="1">
      <x:alignment vertical="center" wrapText="1"/>
    </x:xf>
    <x:xf numFmtId="201" fontId="7" fillId="2" borderId="0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horizontal="center" vertical="center" wrapText="1"/>
    </x:xf>
    <x:xf numFmtId="208" fontId="6" fillId="3" borderId="0" xfId="0" applyNumberFormat="1" applyFont="1" applyFill="1" applyBorder="1" applyAlignment="1">
      <x:alignment vertical="center" wrapText="1"/>
    </x:xf>
    <x:xf numFmtId="208" fontId="6" fillId="3" borderId="0" xfId="0" applyNumberFormat="1" applyFont="1" applyFill="1" applyBorder="1" applyAlignment="1">
      <x:alignment vertical="center" wrapText="0"/>
    </x:xf>
    <x:xf numFmtId="208" fontId="6" fillId="3" borderId="1" xfId="0" applyNumberFormat="1" applyFont="1" applyFill="1" applyBorder="1" applyAlignment="1">
      <x:alignment vertical="center" wrapText="0"/>
    </x:xf>
    <x:xf numFmtId="208" fontId="7" fillId="3" borderId="1" xfId="0" applyNumberFormat="1" applyFont="1" applyFill="1" applyBorder="1" applyAlignment="1">
      <x:alignment vertical="center" wrapText="0"/>
    </x:xf>
    <x:xf numFmtId="208" fontId="7" fillId="3" borderId="1" xfId="0" applyNumberFormat="1" applyFont="1" applyFill="1" applyBorder="1" applyAlignment="1">
      <x:alignment horizontal="center" vertical="center" wrapText="0"/>
    </x:xf>
    <x:xf numFmtId="0" fontId="6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ac896aeff4df1" /><Relationship Type="http://schemas.openxmlformats.org/officeDocument/2006/relationships/theme" Target="/xl/theme/theme1.xml" Id="Rfdff17e51b774ec0" /><Relationship Type="http://schemas.openxmlformats.org/officeDocument/2006/relationships/sharedStrings" Target="/xl/sharedStrings.xml" Id="R09c8eea2980048b9" /><Relationship Type="http://schemas.openxmlformats.org/officeDocument/2006/relationships/worksheet" Target="/xl/worksheets/sheet1.xml" Id="Rb0076badfe8045dd" /><Relationship Type="http://schemas.openxmlformats.org/officeDocument/2006/relationships/worksheet" Target="/xl/worksheets/sheet2.xml" Id="R196f536f9cff4ca9" /><Relationship Type="http://schemas.openxmlformats.org/officeDocument/2006/relationships/worksheet" Target="/xl/worksheets/sheet3.xml" Id="R3b664ec1103a422a" /><Relationship Type="http://schemas.openxmlformats.org/officeDocument/2006/relationships/worksheet" Target="/xl/worksheets/sheet4.xml" Id="Rce87b4ae43a8476c" /><Relationship Type="http://schemas.openxmlformats.org/officeDocument/2006/relationships/worksheet" Target="/xl/worksheets/sheet5.xml" Id="R69773a7453474886" /><Relationship Type="http://schemas.openxmlformats.org/officeDocument/2006/relationships/worksheet" Target="/xl/worksheets/sheet6.xml" Id="R4e08418ace814f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7.5" hidden="0" customWidth="1"/>
    <x:col min="3" max="3" width="22.5" hidden="0" customWidth="1"/>
    <x:col min="4" max="4" width="50" hidden="0" customWidth="1"/>
  </x:cols>
  <x:sheetData>
    <x:row r="1" ht="30" customHeight="1">
      <x:c r="A1" s="4"/>
      <x:c r="B1" s="4"/>
      <x:c r="C1" s="4"/>
      <x:c r="D1" s="4"/>
    </x:row>
    <x:row r="2" ht="32" customHeight="1">
      <x:c r="A2" s="6" t="str">
        <x:v>项目计划表（4人8周仿真，V1.0）</x:v>
      </x:c>
      <x:c r="B2" s="4"/>
      <x:c r="C2" s="4"/>
      <x:c r="D2" s="4"/>
    </x:row>
    <x:row r="3" ht="30" customHeight="1">
      <x:c r="A3" s="4"/>
      <x:c r="B3" s="4"/>
      <x:c r="C3" s="4"/>
      <x:c r="D3" s="4"/>
    </x:row>
    <x:row r="4" ht="30" customHeight="1">
      <x:c r="A4" s="8" t="str">
        <x:v>全部日期、投入与费用为教学仿真设定。计划包含44项业务活动；实际执行记录、提交平台和格式留空。</x:v>
      </x:c>
      <x:c r="B4" s="4"/>
      <x:c r="C4" s="4"/>
      <x:c r="D4" s="4"/>
    </x:row>
    <x:row r="5" ht="30" customHeight="1">
      <x:c r="A5" s="4"/>
      <x:c r="B5" s="4"/>
      <x:c r="C5" s="4"/>
      <x:c r="D5" s="4"/>
    </x:row>
    <x:row r="6" ht="38" customHeight="1">
      <x:c r="A6" s="11" t="str">
        <x:v>字段</x:v>
      </x:c>
      <x:c r="B6" s="11" t="str">
        <x:v>内容</x:v>
      </x:c>
      <x:c r="C6" s="11" t="str">
        <x:v>状态</x:v>
      </x:c>
      <x:c r="D6" s="11" t="str">
        <x:v>说明/依据</x:v>
      </x:c>
    </x:row>
    <x:row r="7" ht="45" customHeight="1">
      <x:c r="A7" s="9" t="str">
        <x:v>项目名称</x:v>
      </x:c>
      <x:c r="B7" s="9" t="str">
        <x:v>云南省企业就业失业数据采集系统</x:v>
      </x:c>
      <x:c r="C7" s="9" t="str">
        <x:v>需求已知</x:v>
      </x:c>
      <x:c r="D7" s="9" t="str">
        <x:v>现有SRS V1.2项目</x:v>
      </x:c>
    </x:row>
    <x:row r="8" ht="45" customHeight="1">
      <x:c r="A8" s="9" t="str">
        <x:v>需求基线</x:v>
      </x:c>
      <x:c r="B8" s="9" t="str">
        <x:v>SRS V1.2</x:v>
      </x:c>
      <x:c r="C8" s="9" t="str">
        <x:v>需求已知</x:v>
      </x:c>
      <x:c r="D8" s="9" t="str">
        <x:v>沿用大作业一需求，覆盖FR-01～28、NFR-01～11、IF-01～04</x:v>
      </x:c>
    </x:row>
    <x:row r="9" ht="45" customHeight="1">
      <x:c r="A9" s="9" t="str">
        <x:v>作业次数</x:v>
      </x:c>
      <x:c r="B9" s="9" t="n">
        <x:v>2</x:v>
      </x:c>
      <x:c r="C9" s="9" t="str">
        <x:v>课上要求</x:v>
      </x:c>
      <x:c r="D9" s="9" t="str">
        <x:v>大作业二，个人提交完整项目计划</x:v>
      </x:c>
    </x:row>
    <x:row r="10" ht="45" customHeight="1">
      <x:c r="A10" s="9" t="str">
        <x:v>本版编制日期</x:v>
      </x:c>
      <x:c r="B10" s="12" t="d">
        <x:v>2026-10-14T00:00:00.000Z</x:v>
      </x:c>
      <x:c r="C10" s="9" t="str">
        <x:v>已知</x:v>
      </x:c>
      <x:c r="D10" s="9" t="str">
        <x:v>2026-10-14完成计划补全；不代表项目实际开始。</x:v>
      </x:c>
    </x:row>
    <x:row r="11" ht="45" customHeight="1">
      <x:c r="A11" s="9" t="str">
        <x:v>模拟项目周期（周）</x:v>
      </x:c>
      <x:c r="B11" s="9" t="n">
        <x:v>8</x:v>
      </x:c>
      <x:c r="C11" s="9" t="str">
        <x:v>课上要求</x:v>
      </x:c>
      <x:c r="D11" s="9" t="str">
        <x:v>老师01:47、31:03</x:v>
      </x:c>
    </x:row>
    <x:row r="12" ht="45" customHeight="1">
      <x:c r="A12" s="9" t="str">
        <x:v>团队人数要求</x:v>
      </x:c>
      <x:c r="B12" s="9" t="str">
        <x:v>3–5人</x:v>
      </x:c>
      <x:c r="C12" s="9" t="str">
        <x:v>课上要求</x:v>
      </x:c>
      <x:c r="D12" s="9" t="str">
        <x:v>老师30:27口头调整人数，取代课件的10人</x:v>
      </x:c>
    </x:row>
    <x:row r="13" ht="45" customHeight="1">
      <x:c r="A13" s="9" t="str">
        <x:v>仿真团队人数</x:v>
      </x:c>
      <x:c r="B13" s="13" t="n">
        <x:f>IF(COUNTIFS('资源计划'!A8:A12,"是")+COUNTIFS('资源计划'!A8:A12,"否")=5,COUNTIFS('资源计划'!A8:A12,"是"),"")</x:f>
        <x:v>4</x:v>
      </x:c>
      <x:c r="C13" s="9" t="str">
        <x:f>IF(ISNUMBER(B13),IF(AND(B13&gt;=3,B13&lt;=5),"人数符合课上范围","人数需调整至3–5"),"待确认，留空")</x:f>
        <x:v>人数符合课上范围</x:v>
      </x:c>
      <x:c r="D13" s="9" t="str">
        <x:v>R01–R04明确启用，R05停用；不表示已确认真实团队成员。</x:v>
      </x:c>
    </x:row>
    <x:row r="14" ht="45" customHeight="1">
      <x:c r="A14" s="9" t="str">
        <x:v>项目经理姓名</x:v>
      </x:c>
      <x:c r="B14" s="13" t="str">
        <x:v>刘显尘（仿真项目经理）</x:v>
      </x:c>
      <x:c r="C14" s="9" t="str">
        <x:v>仿真角色</x:v>
      </x:c>
      <x:c r="D14" s="9" t="str">
        <x:v>其余成员为B/C/D三个模拟角色，团队共4人。</x:v>
      </x:c>
    </x:row>
    <x:row r="15" ht="45" customHeight="1">
      <x:c r="A15" s="9" t="str">
        <x:v>项目开始日期</x:v>
      </x:c>
      <x:c r="B15" s="15" t="d">
        <x:v>2026-10-19T00:00:00.000Z</x:v>
      </x:c>
      <x:c r="C15" s="9" t="str">
        <x:v>仿真计划</x:v>
      </x:c>
      <x:c r="D15" s="9" t="str">
        <x:v>仿真开工日；可调整并重新核验排期、负荷及Project版本。</x:v>
      </x:c>
    </x:row>
    <x:row r="16" ht="45" customHeight="1">
      <x:c r="A16" s="9" t="str">
        <x:v>项目完成日期</x:v>
      </x:c>
      <x:c r="B16" s="15" t="n">
        <x:f>WORKDAY(B15-1,B11*5)</x:f>
        <x:v>46367</x:v>
      </x:c>
      <x:c r="C16" s="9" t="str">
        <x:v>仿真计划</x:v>
      </x:c>
      <x:c r="D16" s="9" t="str">
        <x:v>8周、40工作日；最后工作日12月11日，8个自然周到12月13日。</x:v>
      </x:c>
    </x:row>
    <x:row r="17" ht="45" customHeight="1">
      <x:c r="A17" s="9" t="str">
        <x:v>作业截止日期</x:v>
      </x:c>
      <x:c r="B17" s="15" t="n">
        <x:f>B15+B11*7-1</x:f>
        <x:v>46369</x:v>
      </x:c>
      <x:c r="C17" s="9" t="str">
        <x:v>用户约定</x:v>
      </x:c>
      <x:c r="D17" s="9" t="str">
        <x:v>从模拟开工日计算，截止第8自然周末；按用户设定。</x:v>
      </x:c>
    </x:row>
    <x:row r="18" ht="45" customHeight="1">
      <x:c r="A18" s="9" t="str">
        <x:v>工作日及投入安排</x:v>
      </x:c>
      <x:c r="B18" s="13" t="str">
        <x:v>周一至周五，08:00–12:00、13:00–17:00，每人每天8小时</x:v>
      </x:c>
      <x:c r="C18" s="9" t="str">
        <x:v>仿真计划</x:v>
      </x:c>
      <x:c r="D18" s="9" t="str">
        <x:v>不加入真实假期或个人日程；无人员加班。</x:v>
      </x:c>
    </x:row>
    <x:row r="19" ht="45" customHeight="1">
      <x:c r="A19" s="9" t="str">
        <x:v>项目总预算（元）</x:v>
      </x:c>
      <x:c r="B19" s="14" t="n">
        <x:f>IF(ISNUMBER('成本预算'!Q23),'成本预算'!Q23,"")</x:f>
        <x:v>117537.75</x:v>
      </x:c>
      <x:c r="C19" s="9" t="str">
        <x:f>IF(ISNUMBER(B19),"仿真预算已计算", "输入未齐")</x:f>
        <x:v>仿真预算已计算</x:v>
      </x:c>
      <x:c r="D19" s="9" t="str">
        <x:v>含管理储备的授权仿真总预算；成本控制基准与储备另列。</x:v>
      </x:c>
    </x:row>
    <x:row r="20" ht="45" customHeight="1">
      <x:c r="A20" s="9" t="str">
        <x:v>关键路径及可行性</x:v>
      </x:c>
      <x:c r="B20" s="13" t="str">
        <x:v>Project已核算，40工作日完成；逐日负荷≤8人时/人</x:v>
      </x:c>
      <x:c r="C20" s="9" t="str">
        <x:v>仿真核验通过</x:v>
      </x:c>
      <x:c r="D20" s="9" t="str">
        <x:v>关键任务含持续计划管理；使用资源平衡后的不早于开始约束，结果仅适用于本版本。</x:v>
      </x:c>
    </x:row>
    <x:row r="21" ht="45" customHeight="1">
      <x:c r="A21" s="9" t="str">
        <x:v>提交平台与格式</x:v>
      </x:c>
      <x:c r="B21" s="13"/>
      <x:c r="C21" s="9" t="str">
        <x:v>待确认，留空</x:v>
      </x:c>
      <x:c r="D21" s="9" t="str">
        <x:v>老师展示Project并提到其他工具，未指定上传平台及文件格式</x:v>
      </x:c>
    </x:row>
    <x:row r="22" ht="45" customHeight="1">
      <x:c r="A22" s="9" t="str">
        <x:v>计划边界</x:v>
      </x:c>
      <x:c r="B22" s="9" t="str">
        <x:v>模拟正式软件项目全过程，覆盖43项FR/NFR/IF</x:v>
      </x:c>
      <x:c r="C22" s="9" t="str">
        <x:v>规划用途</x:v>
      </x:c>
      <x:c r="D22" s="9" t="str">
        <x:v>仅制定计划；不登记为真实系统已实现、实际接入或验收通过。</x:v>
      </x:c>
    </x:row>
    <x:row r="23" ht="30" customHeight="1">
      <x:c r="A23" s="4"/>
      <x:c r="B23" s="4"/>
      <x:c r="C23" s="4"/>
      <x:c r="D23" s="4"/>
    </x:row>
    <x:row r="24" ht="30" customHeight="1">
      <x:c r="A24" s="4"/>
      <x:c r="B24" s="4"/>
      <x:c r="C24" s="4"/>
      <x:c r="D24" s="4"/>
    </x:row>
    <x:row r="25" ht="38" customHeight="1">
      <x:c r="A25" s="11" t="str">
        <x:v>计划部分</x:v>
      </x:c>
      <x:c r="B25" s="11" t="str">
        <x:v>初稿安排</x:v>
      </x:c>
      <x:c r="C25" s="11" t="str">
        <x:v>对应工作表</x:v>
      </x:c>
      <x:c r="D25" s="11" t="str">
        <x:v>尚需确认的信息</x:v>
      </x:c>
    </x:row>
    <x:row r="26" ht="66" customHeight="1">
      <x:c r="A26" s="9" t="str">
        <x:v>范围</x:v>
      </x:c>
      <x:c r="B26" s="9" t="str">
        <x:v>43项FR/NFR/IF映射到44项业务活动，含真实交换、测试、培训与交付</x:v>
      </x:c>
      <x:c r="C26" s="9" t="str">
        <x:v>任务与甘特</x:v>
      </x:c>
      <x:c r="D26" s="9" t="str">
        <x:v>需求变更须评估工期、资源和费用</x:v>
      </x:c>
    </x:row>
    <x:row r="27" ht="66" customHeight="1">
      <x:c r="A27" s="9" t="str">
        <x:v>进度</x:v>
      </x:c>
      <x:c r="B27" s="9" t="str">
        <x:v>10月19日–12月11日；保留FS与必要SS并行关系，按4人逐日资源平衡</x:v>
      </x:c>
      <x:c r="C27" s="9" t="str">
        <x:v>任务与甘特/日期甘特</x:v>
      </x:c>
      <x:c r="D27" s="9" t="str">
        <x:v>日期为仿真，参数修改后重新核验依赖和Project</x:v>
      </x:c>
    </x:row>
    <x:row r="28" ht="66" customHeight="1">
      <x:c r="A28" s="9" t="str">
        <x:v>资源</x:v>
      </x:c>
      <x:c r="B28" s="9" t="str">
        <x:v>4人，项目经理兼需求与开发、后端、前端、测试部署兼工具开发</x:v>
      </x:c>
      <x:c r="C28" s="9" t="str">
        <x:v>资源计划</x:v>
      </x:c>
      <x:c r="D28" s="9" t="str">
        <x:v>实际人员身份未确认；分配为明确模拟角色</x:v>
      </x:c>
    </x:row>
    <x:row r="29" ht="66" customHeight="1">
      <x:c r="A29" s="9" t="str">
        <x:v>成本估算</x:v>
      </x:c>
      <x:c r="B29" s="9" t="str">
        <x:v>按任务难度、模块复用与投入人时估算；人工加非人工与间接费用</x:v>
      </x:c>
      <x:c r="C29" s="9" t="str">
        <x:v>成本预算</x:v>
      </x:c>
      <x:c r="D29" s="9" t="str">
        <x:v>金额为仿真估算，不是报价或已发生支出</x:v>
      </x:c>
    </x:row>
    <x:row r="30" ht="66" customHeight="1">
      <x:c r="A30" s="9" t="str">
        <x:v>成本预算</x:v>
      </x:c>
      <x:c r="B30" s="9" t="str">
        <x:v>W1–W8分周预算；成本控制基准加10%管理储备</x:v>
      </x:c>
      <x:c r="C30" s="9" t="str">
        <x:v>成本预算</x:v>
      </x:c>
      <x:c r="D30" s="9" t="str">
        <x:v>管理储备预留额度独立于基准，实际支出未发生</x:v>
      </x:c>
    </x:row>
    <x:row r="31" ht="66" customHeight="1">
      <x:c r="A31" s="9" t="str">
        <x:v>质量</x:v>
      </x:c>
      <x:c r="B31" s="9" t="str">
        <x:v>16项质量标准有对应任务、仿真负责人、计划日期和证据要求</x:v>
      </x:c>
      <x:c r="C31" s="9" t="str">
        <x:v>质量与变更</x:v>
      </x:c>
      <x:c r="D31" s="9" t="str">
        <x:v>实际测试日期、结果及接收凭据继续留空</x:v>
      </x:c>
    </x:row>
    <x:row r="32" ht="66" customHeight="1">
      <x:c r="A32" s="9" t="str">
        <x:v>迭代</x:v>
      </x:c>
      <x:c r="B32" s="9" t="str">
        <x:v>W2/W4/W6/W8复核；本次V0.1→V1.0补全人员、排期和预算</x:v>
      </x:c>
      <x:c r="C32" s="9" t="str">
        <x:v>质量与变更</x:v>
      </x:c>
      <x:c r="D32" s="9" t="str">
        <x:v>后续版本和变更实际发生后再记录</x:v>
      </x:c>
    </x:row>
    <x:row r="33" ht="66" customHeight="1">
      <x:c r="A33" s="9" t="str">
        <x:v>外部条件</x:v>
      </x:c>
      <x:c r="B33" s="9" t="str">
        <x:v>假设W2具备协议、端点、测试凭据和映射，REAL与最终验收排入8周</x:v>
      </x:c>
      <x:c r="C33" s="9" t="str">
        <x:v>任务与甘特</x:v>
      </x:c>
      <x:c r="D33" s="9" t="str">
        <x:v>实际未具备时须重排，不用MOCK代替真实验收</x:v>
      </x:c>
    </x:row>
    <x:row r="34" ht="30" customHeight="1">
      <x:c r="A34" s="4"/>
      <x:c r="B34" s="4"/>
      <x:c r="C34" s="4"/>
      <x:c r="D34" s="4"/>
    </x:row>
    <x:row r="35" ht="30" customHeight="1">
      <x:c r="A35" s="4"/>
      <x:c r="B35" s="4"/>
      <x:c r="C35" s="4"/>
      <x:c r="D35" s="4"/>
    </x:row>
    <x:row r="36" ht="38" customHeight="1">
      <x:c r="A36" s="11" t="str">
        <x:v>目标周次</x:v>
      </x:c>
      <x:c r="B36" s="11" t="str">
        <x:v>暂定阶段目标</x:v>
      </x:c>
      <x:c r="C36" s="11" t="str">
        <x:v>预定交付成果</x:v>
      </x:c>
      <x:c r="D36" s="11" t="str">
        <x:v>通过条件</x:v>
      </x:c>
    </x:row>
    <x:row r="37" ht="64" customHeight="1">
      <x:c r="A37" s="9" t="str">
        <x:v>W1</x:v>
      </x:c>
      <x:c r="B37" s="9" t="str">
        <x:v>需求、设计与计划骨架</x:v>
      </x:c>
      <x:c r="C37" s="9" t="str">
        <x:v>需求覆盖、架构、数据设计、测试大纲</x:v>
      </x:c>
      <x:c r="D37" s="9" t="str">
        <x:v>设计评审及范围确认，不填写实际通过</x:v>
      </x:c>
    </x:row>
    <x:row r="38" ht="64" customHeight="1">
      <x:c r="A38" s="9" t="str">
        <x:v>W2</x:v>
      </x:c>
      <x:c r="B38" s="9" t="str">
        <x:v>环境、认证与真实交换输入</x:v>
      </x:c>
      <x:c r="C38" s="9" t="str">
        <x:v>开发环境、认证基础、真实交换条件核对</x:v>
      </x:c>
      <x:c r="D38" s="9" t="str">
        <x:v>假设协议及受控测试环境已具备</x:v>
      </x:c>
    </x:row>
    <x:row r="39" ht="64" customHeight="1">
      <x:c r="A39" s="9" t="str">
        <x:v>W4</x:v>
      </x:c>
      <x:c r="B39" s="9" t="str">
        <x:v>主业务实现与统计交换</x:v>
      </x:c>
      <x:c r="C39" s="9" t="str">
        <x:v>备案、月报、审核、修订、统计、MOCK/REAL适配</x:v>
      </x:c>
      <x:c r="D39" s="9" t="str">
        <x:v>模块编码完成后进入完整集成</x:v>
      </x:c>
    </x:row>
    <x:row r="40" ht="64" customHeight="1">
      <x:c r="A40" s="9" t="str">
        <x:v>W5–6</x:v>
      </x:c>
      <x:c r="B40" s="9" t="str">
        <x:v>业务阶段评审与本地集成</x:v>
      </x:c>
      <x:c r="C40" s="9" t="str">
        <x:v>所有模块集成、性能、安全及兼容安排</x:v>
      </x:c>
      <x:c r="D40" s="9" t="str">
        <x:v>按任务依赖执行，合成数据完整可核验</x:v>
      </x:c>
    </x:row>
    <x:row r="41" ht="64" customHeight="1">
      <x:c r="A41" s="9" t="str">
        <x:v>W7</x:v>
      </x:c>
      <x:c r="B41" s="9" t="str">
        <x:v>72小时验证、功能验证和修复</x:v>
      </x:c>
      <x:c r="C41" s="9" t="str">
        <x:v>功能证据、自动运行、缺陷修复及文档</x:v>
      </x:c>
      <x:c r="D41" s="9" t="str">
        <x:v>计划覆盖不少于72自然小时，实际记录留空</x:v>
      </x:c>
    </x:row>
    <x:row r="42" ht="64" customHeight="1">
      <x:c r="A42" s="9" t="str">
        <x:v>W8</x:v>
      </x:c>
      <x:c r="B42" s="9" t="str">
        <x:v>试运行、培训、交付与定稿</x:v>
      </x:c>
      <x:c r="C42" s="9" t="str">
        <x:v>完整验收计划、交付证据包、个人项目计划</x:v>
      </x:c>
      <x:c r="D42" s="9" t="str">
        <x:v>完整验收须包含AC-10B；本文件未声明实际通过</x:v>
      </x:c>
    </x:row>
    <x:row r="43" ht="30" customHeight="1">
      <x:c r="A43" s="4"/>
      <x:c r="B43" s="4"/>
      <x:c r="C43" s="4"/>
      <x:c r="D43" s="4"/>
    </x:row>
    <x:row r="44" ht="30" customHeight="1">
      <x:c r="A44" s="4"/>
      <x:c r="B44" s="4"/>
      <x:c r="C44" s="4"/>
      <x:c r="D44" s="4"/>
    </x:row>
    <x:row r="45" ht="38" customHeight="1">
      <x:c r="A45" s="11" t="str">
        <x:v>依据/分类</x:v>
      </x:c>
      <x:c r="B45" s="11" t="str">
        <x:v>内容</x:v>
      </x:c>
      <x:c r="C45" s="11" t="str">
        <x:v>定位</x:v>
      </x:c>
      <x:c r="D45" s="11" t="str">
        <x:v>用途</x:v>
      </x:c>
    </x:row>
    <x:row r="46" ht="60" customHeight="1">
      <x:c r="A46" s="9" t="str">
        <x:v>课堂要求</x:v>
      </x:c>
      <x:c r="B46" s="9" t="str">
        <x:v>个人提交，8周，3–5人，范围/进度/成本/质量计划及持续迭代</x:v>
      </x:c>
      <x:c r="C46" s="9" t="str">
        <x:v>10月12日 01:04–02:19、30:27–31:03</x:v>
      </x:c>
      <x:c r="D46" s="9" t="str">
        <x:v>作为计划约束</x:v>
      </x:c>
    </x:row>
    <x:row r="47" ht="60" customHeight="1">
      <x:c r="A47" s="9" t="str">
        <x:v>课堂方法</x:v>
      </x:c>
      <x:c r="B47" s="9" t="str">
        <x:v>资源冲突、关键路径、渐进明细与可验证迭代成果</x:v>
      </x:c>
      <x:c r="C47" s="9" t="str">
        <x:v>05:53–22:20</x:v>
      </x:c>
      <x:c r="D47" s="9" t="str">
        <x:v>用于任务和资源安排</x:v>
      </x:c>
    </x:row>
    <x:row r="48" ht="60" customHeight="1">
      <x:c r="A48" s="9" t="str">
        <x:v>课堂成本</x:v>
      </x:c>
      <x:c r="B48" s="9" t="str">
        <x:v>直接/间接、人力/非人力、分时预算与管理储备</x:v>
      </x:c>
      <x:c r="C48" s="9" t="str">
        <x:v>35:29–37:03、45:21、52:57–55:59</x:v>
      </x:c>
      <x:c r="D48" s="9" t="str">
        <x:v>用于成本预算结构</x:v>
      </x:c>
    </x:row>
    <x:row r="49" ht="60" customHeight="1">
      <x:c r="A49" s="9" t="str">
        <x:v>项目需求</x:v>
      </x:c>
      <x:c r="B49" s="9" t="str">
        <x:v>SRS V1.2，第4–7章、第9–10章</x:v>
      </x:c>
      <x:c r="C49" s="9" t="str">
        <x:v>需求、质量、接口、技术与验收覆盖</x:v>
      </x:c>
      <x:c r="D49" s="9" t="str">
        <x:v>用于范围与质量标准</x:v>
      </x:c>
    </x:row>
    <x:row r="50" ht="60" customHeight="1">
      <x:c r="A50" s="9" t="str">
        <x:v>暂时性实施规划</x:v>
      </x:c>
      <x:c r="B50" s="9" t="str">
        <x:v>本表任务拆分、相对周次、里程碑与计划复核安排</x:v>
      </x:c>
      <x:c r="C50" s="9" t="str">
        <x:v>初稿建议，待成员和工作量确认后修订</x:v>
      </x:c>
      <x:c r="D50" s="9" t="str">
        <x:v>不作为实际进度或通过记录</x:v>
      </x:c>
    </x:row>
    <x:row r="51" ht="42" customHeight="1">
      <x:c r="A51" s="31" t="str">
        <x:v>估算参数/结果</x:v>
      </x:c>
      <x:c r="B51" s="31" t="str">
        <x:v>数值或说明</x:v>
      </x:c>
      <x:c r="C51" s="31" t="str">
        <x:v>类型</x:v>
      </x:c>
      <x:c r="D51" s="31" t="str">
        <x:v>依据或使用说明</x:v>
      </x:c>
    </x:row>
    <x:row r="52" ht="58" customHeight="1">
      <x:c r="A52" s="29" t="str">
        <x:v>计划版本</x:v>
      </x:c>
      <x:c r="B52" s="29" t="str">
        <x:v>V1.0</x:v>
      </x:c>
      <x:c r="C52" s="29" t="str">
        <x:v>本次编制</x:v>
      </x:c>
      <x:c r="D52" s="29" t="str">
        <x:v>由初稿补齐，后续复核沿用版本记录</x:v>
      </x:c>
    </x:row>
    <x:row r="53" ht="58" customHeight="1">
      <x:c r="A53" s="29" t="str">
        <x:v>开发投入系数</x:v>
      </x:c>
      <x:c r="B53" s="32" t="n">
        <x:v>0.5</x:v>
      </x:c>
      <x:c r="C53" s="29" t="str">
        <x:v>可编辑仿真假设</x:v>
      </x:c>
      <x:c r="D53" s="29" t="str">
        <x:v>T3开发模块基准人时乘50%；测试/评审/交付不折减。依赖成熟组件与AI辅助。</x:v>
      </x:c>
    </x:row>
    <x:row r="54" ht="58" customHeight="1">
      <x:c r="A54" s="29" t="str">
        <x:v>计划总投入人时</x:v>
      </x:c>
      <x:c r="B54" s="33" t="n">
        <x:f>SUM('资源计划'!O8:O12)</x:f>
        <x:v>877</x:v>
      </x:c>
      <x:c r="C54" s="29" t="str">
        <x:v>计算</x:v>
      </x:c>
      <x:c r="D54" s="29" t="str">
        <x:v>各任务分资源人时与分周投入一致</x:v>
      </x:c>
    </x:row>
    <x:row r="55" ht="58" customHeight="1">
      <x:c r="A55" s="29" t="str">
        <x:v>每日可用小时</x:v>
      </x:c>
      <x:c r="B55" s="33" t="n">
        <x:v>8</x:v>
      </x:c>
      <x:c r="C55" s="29" t="str">
        <x:v>可编辑仿真假设</x:v>
      </x:c>
      <x:c r="D55" s="29" t="str">
        <x:v>四名成员，每周5个工作日</x:v>
      </x:c>
    </x:row>
    <x:row r="56" ht="58" customHeight="1">
      <x:c r="A56" s="29" t="str">
        <x:v>未分配容量人时</x:v>
      </x:c>
      <x:c r="B56" s="33" t="n">
        <x:f>B13*B11*5*B55-B54</x:f>
        <x:v>403</x:v>
      </x:c>
      <x:c r="C56" s="29" t="str">
        <x:v>计算</x:v>
      </x:c>
      <x:c r="D56" s="29" t="str">
        <x:v>1280人时容量减计划投入；不是额外日历缓冲</x:v>
      </x:c>
    </x:row>
    <x:row r="57" ht="58" customHeight="1">
      <x:c r="A57" s="29" t="str">
        <x:v>成本控制基准（元）</x:v>
      </x:c>
      <x:c r="B57" s="34" t="n">
        <x:f>'成本预算'!H24</x:f>
        <x:v>106852.5</x:v>
      </x:c>
      <x:c r="C57" s="29" t="str">
        <x:v>计算</x:v>
      </x:c>
      <x:c r="D57" s="29" t="str">
        <x:v>直接人工、非人工及间接费用，不含管理储备</x:v>
      </x:c>
    </x:row>
    <x:row r="58" ht="58" customHeight="1">
      <x:c r="A58" s="29" t="str">
        <x:v>管理储备比例</x:v>
      </x:c>
      <x:c r="B58" s="32" t="n">
        <x:f>'成本预算'!F21</x:f>
        <x:v>0.1</x:v>
      </x:c>
      <x:c r="C58" s="29" t="str">
        <x:v>输入在成本预算</x:v>
      </x:c>
      <x:c r="D58" s="29" t="str">
        <x:v>相同储备池覆盖各项风险，避免重复加总</x:v>
      </x:c>
    </x:row>
    <x:row r="59" ht="58" customHeight="1">
      <x:c r="A59" s="29" t="str">
        <x:v>管理储备（元）</x:v>
      </x:c>
      <x:c r="B59" s="34" t="n">
        <x:f>'成本预算'!H21</x:f>
        <x:v>10685.25</x:v>
      </x:c>
      <x:c r="C59" s="29" t="str">
        <x:v>计算</x:v>
      </x:c>
      <x:c r="D59" s="29" t="str">
        <x:v>基准的10%，与Project总计划储备一致</x:v>
      </x:c>
    </x:row>
    <x:row r="60" ht="58" customHeight="1">
      <x:c r="A60" s="29" t="str">
        <x:v>含储备总预算（元）</x:v>
      </x:c>
      <x:c r="B60" s="34" t="n">
        <x:f>'成本预算'!Q23</x:f>
        <x:v>117537.75</x:v>
      </x:c>
      <x:c r="C60" s="29" t="str">
        <x:v>计算</x:v>
      </x:c>
      <x:c r="D60" s="29" t="str">
        <x:v>成本控制基准加管理储备</x:v>
      </x:c>
    </x:row>
    <x:row r="61" ht="58" customHeight="1">
      <x:c r="A61" s="29" t="str">
        <x:v>效率假设未达到时</x:v>
      </x:c>
      <x:c r="B61" s="29" t="str">
        <x:v>W2/W4复核调整工期或预算</x:v>
      </x:c>
      <x:c r="C61" s="29" t="str">
        <x:v>风险条件</x:v>
      </x:c>
      <x:c r="D61" s="29" t="str">
        <x:v>不能以取消测试、缩减AC-10B或降低标准抵销偏差</x:v>
      </x:c>
    </x:row>
    <x:row r="62" ht="58" customHeight="1">
      <x:c r="A62" s="29" t="str">
        <x:v>项目完成记录</x:v>
      </x:c>
      <x:c r="B62" s="29" t="str">
        <x:v>未实际执行，留空</x:v>
      </x:c>
      <x:c r="C62" s="29" t="str">
        <x:v>数据边界</x:v>
      </x:c>
      <x:c r="D62" s="29" t="str">
        <x:v>实际工时、成本、完成率及测试结果不填成已发生</x:v>
      </x:c>
    </x:row>
    <x:row r="63" ht="30" customHeight="1">
      <x:c r="A63" s="4"/>
      <x:c r="B63" s="4"/>
      <x:c r="C63" s="4"/>
      <x:c r="D63" s="4"/>
    </x:row>
    <x:row r="64" ht="30" customHeight="1">
      <x:c r="A64" s="4"/>
      <x:c r="B64" s="4"/>
      <x:c r="C64" s="4"/>
      <x:c r="D64" s="4"/>
    </x:row>
    <x:row r="65" ht="30" customHeight="1">
      <x:c r="A65" s="35" t="str">
        <x:v>仿真假设与项目边界</x:v>
      </x:c>
      <x:c r="B65" s="4"/>
      <x:c r="C65" s="4"/>
      <x:c r="D65" s="4"/>
    </x:row>
    <x:row r="66">
      <x:c r="A66" s="36" t="str">
        <x:v>8周40工作日；周一至周五08:00–12:00、13:00–17:00；仅作仿真，不录入法定假日或真实个人日程</x:v>
      </x:c>
      <x:c r="B66" s="36"/>
      <x:c r="C66" s="36"/>
      <x:c r="D66" s="36"/>
    </x:row>
    <x:row r="67">
      <x:c r="A67" s="36" t="str">
        <x:v>人员、费率、设备及采购金额均为教学仿真设定，非市场报价或实际支出</x:v>
      </x:c>
      <x:c r="B67" s="36"/>
      <x:c r="C67" s="36"/>
      <x:c r="D67" s="36"/>
    </x:row>
    <x:row r="68">
      <x:c r="A68" s="36" t="str">
        <x:v>既有SRS与离线原型仅复用需求和交互设计；通用组件及AI辅助，不认定已有正式后端</x:v>
      </x:c>
      <x:c r="B68" s="36"/>
      <x:c r="C68" s="36"/>
      <x:c r="D68" s="36"/>
    </x:row>
    <x:row r="69">
      <x:c r="A69" s="36" t="str">
        <x:v>W2具备真实交换协议、端点、测试凭据、映射和受控合成数据条件；若实际未具备须重排，不用MOCK代替实际验收</x:v>
      </x:c>
      <x:c r="B69" s="36"/>
      <x:c r="C69" s="36"/>
      <x:c r="D69" s="36"/>
    </x:row>
    <x:row r="70">
      <x:c r="A70" s="36" t="str">
        <x:v>4工作日自动运行验证覆盖不少于72自然小时；夜间自动运行不计人员加班</x:v>
      </x:c>
      <x:c r="B70" s="36"/>
      <x:c r="C70" s="36"/>
      <x:c r="D70" s="36"/>
    </x:row>
    <x:row r="71">
      <x:c r="A71" s="36" t="str">
        <x:v>每次W2/W4/W6/W8复核明确成果与变更；只记录本次计划迭代，不虚构后续实际执行</x:v>
      </x:c>
      <x:c r="B71" s="36"/>
      <x:c r="C71" s="36"/>
      <x:c r="D71" s="36"/>
    </x:row>
    <x:row r="72">
      <x:c r="A72" s="36" t="str">
        <x:v>直接人工费率不含一般管理分摊，间接人工5%；管理储备10%单列，不计成本控制基准</x:v>
      </x:c>
      <x:c r="B72" s="36"/>
      <x:c r="C72" s="36"/>
      <x:c r="D72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4.380001068115234" hidden="0" customWidth="1"/>
    <x:col min="3" max="3" width="21.8799991607666" hidden="0" customWidth="1"/>
    <x:col min="4" max="4" width="35" hidden="0" customWidth="1"/>
    <x:col min="5" max="5" width="8.130000114440918" hidden="0" customWidth="1"/>
    <x:col min="6" max="6" width="8.130000114440918" hidden="0" customWidth="1"/>
    <x:col min="7" max="7" width="5.75" hidden="0" customWidth="1"/>
    <x:col min="8" max="8" width="5.75" hidden="0" customWidth="1"/>
    <x:col min="9" max="9" width="5.75" hidden="0" customWidth="1"/>
    <x:col min="10" max="10" width="5.75" hidden="0" customWidth="1"/>
    <x:col min="11" max="11" width="5.75" hidden="0" customWidth="1"/>
    <x:col min="12" max="12" width="5.75" hidden="0" customWidth="1"/>
    <x:col min="13" max="13" width="5.75" hidden="0" customWidth="1"/>
    <x:col min="14" max="14" width="5.75" hidden="0" customWidth="1"/>
    <x:col min="15" max="15" width="13.75" hidden="0" customWidth="1"/>
    <x:col min="16" max="16" width="37.5" hidden="0" customWidth="1"/>
    <x:col min="17" max="17" width="11.25" hidden="0" customWidth="1"/>
    <x:col min="18" max="18" width="15" hidden="0" customWidth="1"/>
    <x:col min="19" max="19" width="13.75" hidden="0" customWidth="1"/>
    <x:col min="20" max="20" width="16.8799991607666" hidden="0" customWidth="1"/>
    <x:col min="21" max="21" width="16.8799991607666" hidden="0" customWidth="1"/>
    <x:col min="22" max="22" width="22.5" hidden="0" customWidth="1"/>
    <x:col min="23" max="23" width="70" hidden="0" customWidth="1"/>
    <x:col min="24" max="24" width="13.75" hidden="0" customWidth="1"/>
    <x:col min="25" max="25" width="11.25" hidden="0" customWidth="1"/>
    <x:col min="26" max="26" width="11.25" hidden="0" customWidth="1"/>
    <x:col min="27" max="27" width="11.25" hidden="0" customWidth="1"/>
    <x:col min="28" max="28" width="11.25" hidden="0" customWidth="1"/>
    <x:col min="29" max="29" width="18.75" hidden="0" customWidth="1"/>
    <x:col min="30" max="30" width="10" hidden="0" customWidth="1"/>
    <x:col min="31" max="31" width="70" hidden="0" customWidth="1"/>
    <x:col min="32" max="32" width="15" hidden="0" customWidth="1"/>
    <x:col min="33" max="33" width="20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7.5" hidden="0" customWidth="1"/>
    <x:col min="39" max="39" width="17.5" hidden="0" customWidth="1"/>
    <x:col min="40" max="40" width="17.5" hidden="0" customWidth="1"/>
    <x:col min="41" max="41" width="17.5" hidden="0" customWidth="1"/>
    <x:col min="42" max="42" width="17.5" hidden="0" customWidth="1"/>
  </x:cols>
  <x:sheetData>
    <x:row r="1" ht="3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2" customHeight="1">
      <x:c r="A2" s="6" t="str">
        <x:v>任务与周次甘特（4人8周仿真）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 ht="30" customHeight="1">
      <x:c r="A3" s="8" t="str">
        <x:v>44项活动已填写仿真工期、分工、日期和成本。每日负荷≤8小时；Excel参数修改后需重新核验并同步Project。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30" customHeight="1">
      <x:c r="A4" s="8" t="str">
        <x:v>FS为完成—开始，SS+1d为接口骨架具备后的重叠编码。集成/验收等待必需模块完成；关键任务及时差为本版Project计算结果。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</x:row>
    <x:row r="5" ht="3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</x:row>
    <x:row r="6" ht="42" customHeight="1">
      <x:c r="A6" s="11" t="str">
        <x:v>WBS</x:v>
      </x:c>
      <x:c r="B6" s="11" t="str">
        <x:v>任务名称</x:v>
      </x:c>
      <x:c r="C6" s="11" t="str">
        <x:v>对应需求</x:v>
      </x:c>
      <x:c r="D6" s="11" t="str">
        <x:v>前置任务</x:v>
      </x:c>
      <x:c r="E6" s="11" t="str">
        <x:v>开始周</x:v>
      </x:c>
      <x:c r="F6" s="11" t="str">
        <x:v>结束周</x:v>
      </x:c>
      <x:c r="G6" s="18" t="n">
        <x:v>1</x:v>
      </x:c>
      <x:c r="H6" s="18" t="n">
        <x:v>2</x:v>
      </x:c>
      <x:c r="I6" s="18" t="n">
        <x:v>3</x:v>
      </x:c>
      <x:c r="J6" s="18" t="n">
        <x:v>4</x:v>
      </x:c>
      <x:c r="K6" s="18" t="n">
        <x:v>5</x:v>
      </x:c>
      <x:c r="L6" s="18" t="n">
        <x:v>6</x:v>
      </x:c>
      <x:c r="M6" s="18" t="n">
        <x:v>7</x:v>
      </x:c>
      <x:c r="N6" s="18" t="n">
        <x:v>8</x:v>
      </x:c>
      <x:c r="O6" s="11" t="str">
        <x:v>阶段</x:v>
      </x:c>
      <x:c r="P6" s="11" t="str">
        <x:v>预定交付物</x:v>
      </x:c>
      <x:c r="Q6" s="11" t="str">
        <x:v>工期（工作日）</x:v>
      </x:c>
      <x:c r="R6" s="11" t="str">
        <x:v>责任资源ID</x:v>
      </x:c>
      <x:c r="S6" s="11" t="str">
        <x:v>工作量（人时）</x:v>
      </x:c>
      <x:c r="T6" s="11" t="str">
        <x:v>计划开始日期</x:v>
      </x:c>
      <x:c r="U6" s="11" t="str">
        <x:v>计划结束日期</x:v>
      </x:c>
      <x:c r="V6" s="11" t="str">
        <x:v>验收依据</x:v>
      </x:c>
      <x:c r="W6" s="11" t="str">
        <x:v>仿真估算与条件</x:v>
      </x:c>
      <x:c r="X6" s="11" t="str">
        <x:v>计划状态</x:v>
      </x:c>
      <x:c r="Y6" s="31" t="str">
        <x:v>R01人时</x:v>
      </x:c>
      <x:c r="Z6" s="31" t="str">
        <x:v>R02人时</x:v>
      </x:c>
      <x:c r="AA6" s="31" t="str">
        <x:v>R03人时</x:v>
      </x:c>
      <x:c r="AB6" s="31" t="str">
        <x:v>R04人时</x:v>
      </x:c>
      <x:c r="AC6" s="31" t="str">
        <x:v>任务直接人工（元）</x:v>
      </x:c>
      <x:c r="AD6" s="31" t="str">
        <x:v>任务难度</x:v>
      </x:c>
      <x:c r="AE6" s="31" t="str">
        <x:v>估算与依赖说明</x:v>
      </x:c>
      <x:c r="AF6" s="31" t="str">
        <x:v>Project关键任务</x:v>
      </x:c>
      <x:c r="AG6" s="31" t="str">
        <x:v>Project时差（工作日）</x:v>
      </x:c>
      <x:c r="AH6" s="31" t="str">
        <x:v>R01日均人时</x:v>
      </x:c>
      <x:c r="AI6" s="31" t="str">
        <x:v>R02日均人时</x:v>
      </x:c>
      <x:c r="AJ6" s="31" t="str">
        <x:v>R03日均人时</x:v>
      </x:c>
      <x:c r="AK6" s="31" t="str">
        <x:v>R04日均人时</x:v>
      </x:c>
      <x:c r="AL6" s="31" t="str">
        <x:v>开始工作日序号</x:v>
      </x:c>
      <x:c r="AM6" s="31" t="str">
        <x:v>独立估算R01人时</x:v>
      </x:c>
      <x:c r="AN6" s="31" t="str">
        <x:v>独立估算R02人时</x:v>
      </x:c>
      <x:c r="AO6" s="31" t="str">
        <x:v>独立估算R03人时</x:v>
      </x:c>
      <x:c r="AP6" s="31" t="str">
        <x:v>独立估算R04人时</x:v>
      </x:c>
    </x:row>
    <x:row r="7" ht="58" customHeight="1">
      <x:c r="A7" s="16" t="str">
        <x:v>T1.1</x:v>
      </x:c>
      <x:c r="B7" s="16" t="str">
        <x:v>核对需求范围与覆盖</x:v>
      </x:c>
      <x:c r="C7" s="16" t="str">
        <x:v>FR-01～28, NFR-01～11, IF-01～04</x:v>
      </x:c>
      <x:c r="D7" s="16" t="str"/>
      <x:c r="E7" s="17" t="n">
        <x:f>INT((T7-'项目总表'!$B$15)/7)+1</x:f>
        <x:v>1</x:v>
      </x:c>
      <x:c r="F7" s="17" t="n">
        <x:f>INT((U7-'项目总表'!$B$15)/7)+1</x:f>
        <x:v>1</x:v>
      </x:c>
      <x:c r="G7" s="17" t="str">
        <x:f>IF(COUNT($E7:$F7)&lt;2,"",IF(AND(G$6&gt;=$E7,G$6&lt;=$F7),"■",""))</x:f>
        <x:v>■</x:v>
      </x:c>
      <x:c r="H7" s="17" t="str">
        <x:f>IF(COUNT($E7:$F7)&lt;2,"",IF(AND(H$6&gt;=$E7,H$6&lt;=$F7),"■",""))</x:f>
      </x:c>
      <x:c r="I7" s="17" t="str">
        <x:f>IF(COUNT($E7:$F7)&lt;2,"",IF(AND(I$6&gt;=$E7,I$6&lt;=$F7),"■",""))</x:f>
      </x:c>
      <x:c r="J7" s="17" t="str">
        <x:f>IF(COUNT($E7:$F7)&lt;2,"",IF(AND(J$6&gt;=$E7,J$6&lt;=$F7),"■",""))</x:f>
      </x:c>
      <x:c r="K7" s="17" t="str">
        <x:f>IF(COUNT($E7:$F7)&lt;2,"",IF(AND(K$6&gt;=$E7,K$6&lt;=$F7),"■",""))</x:f>
      </x:c>
      <x:c r="L7" s="17" t="str">
        <x:f>IF(COUNT($E7:$F7)&lt;2,"",IF(AND(L$6&gt;=$E7,L$6&lt;=$F7),"■",""))</x:f>
      </x:c>
      <x:c r="M7" s="17" t="str">
        <x:f>IF(COUNT($E7:$F7)&lt;2,"",IF(AND(M$6&gt;=$E7,M$6&lt;=$F7),"■",""))</x:f>
      </x:c>
      <x:c r="N7" s="17" t="str">
        <x:f>IF(COUNT($E7:$F7)&lt;2,"",IF(AND(N$6&gt;=$E7,N$6&lt;=$F7),"■",""))</x:f>
      </x:c>
      <x:c r="O7" s="9" t="str">
        <x:v>需求</x:v>
      </x:c>
      <x:c r="P7" s="9" t="str">
        <x:v>范围说明与需求覆盖矩阵</x:v>
      </x:c>
      <x:c r="Q7" s="19" t="n">
        <x:v>1</x:v>
      </x:c>
      <x:c r="R7" s="16" t="str">
        <x:v>R01</x:v>
      </x:c>
      <x:c r="S7" s="19" t="n">
        <x:f>SUM(Y7:AB7)</x:f>
        <x:v>20</x:v>
      </x:c>
      <x:c r="T7" s="12" t="n">
        <x:f>WORKDAY('项目总表'!$B$15-1,AL7)</x:f>
        <x:v>46314</x:v>
      </x:c>
      <x:c r="U7" s="12" t="n">
        <x:f>WORKDAY(T7-1,Q7)</x:f>
        <x:v>46314</x:v>
      </x:c>
      <x:c r="V7" s="9" t="str">
        <x:v>AC-01～14</x:v>
      </x:c>
      <x:c r="W7" s="9" t="str">
        <x:v>已有SRS逐条确认43项需求、范围和验收映射，四人并行核对</x:v>
      </x:c>
      <x:c r="X7" s="9" t="str">
        <x:v>仿真计划，未执行</x:v>
      </x:c>
      <x:c r="Y7" s="34" t="n">
        <x:f>AM7</x:f>
        <x:v>8</x:v>
      </x:c>
      <x:c r="Z7" s="34" t="n">
        <x:f>AN7</x:f>
        <x:v>4</x:v>
      </x:c>
      <x:c r="AA7" s="34" t="n">
        <x:f>AO7</x:f>
        <x:v>4</x:v>
      </x:c>
      <x:c r="AB7" s="34" t="n">
        <x:f>AP7</x:f>
        <x:v>4</x:v>
      </x:c>
      <x:c r="AC7" s="34" t="n">
        <x:f>Y7*'资源计划'!$F$8+Z7*'资源计划'!$F$9+AA7*'资源计划'!$F$10+AB7*'资源计划'!$F$11</x:f>
        <x:v>2040</x:v>
      </x:c>
      <x:c r="AD7" s="29" t="str">
        <x:v>中</x:v>
      </x:c>
      <x:c r="AE7" s="29" t="str">
        <x:v>已有SRS逐条确认43项需求、范围和验收映射，四人并行核对</x:v>
      </x:c>
      <x:c r="AF7" s="29" t="str">
        <x:v>是</x:v>
      </x:c>
      <x:c r="AG7" s="33" t="n">
        <x:v>0</x:v>
      </x:c>
      <x:c r="AH7" s="33" t="n">
        <x:f>Y7/Q7</x:f>
        <x:v>8</x:v>
      </x:c>
      <x:c r="AI7" s="33" t="n">
        <x:f>Z7/Q7</x:f>
        <x:v>4</x:v>
      </x:c>
      <x:c r="AJ7" s="33" t="n">
        <x:f>AA7/Q7</x:f>
        <x:v>4</x:v>
      </x:c>
      <x:c r="AK7" s="33" t="n">
        <x:f>AB7/Q7</x:f>
        <x:v>4</x:v>
      </x:c>
      <x:c r="AL7" s="41" t="n">
        <x:v>1</x:v>
      </x:c>
      <x:c r="AM7" s="33" t="n">
        <x:v>8</x:v>
      </x:c>
      <x:c r="AN7" s="33" t="n">
        <x:v>4</x:v>
      </x:c>
      <x:c r="AO7" s="33" t="n">
        <x:v>4</x:v>
      </x:c>
      <x:c r="AP7" s="33" t="n">
        <x:v>4</x:v>
      </x:c>
    </x:row>
    <x:row r="8" ht="58" customHeight="1">
      <x:c r="A8" s="16" t="str">
        <x:v>T1.2</x:v>
      </x:c>
      <x:c r="B8" s="16" t="str">
        <x:v>形成WBS与项目计划初稿</x:v>
      </x:c>
      <x:c r="C8" s="16" t="str">
        <x:v>项目管理</x:v>
      </x:c>
      <x:c r="D8" s="16" t="str">
        <x:v>T1.1FS</x:v>
      </x:c>
      <x:c r="E8" s="17" t="n">
        <x:f>INT((T8-'项目总表'!$B$15)/7)+1</x:f>
        <x:v>1</x:v>
      </x:c>
      <x:c r="F8" s="17" t="n">
        <x:f>INT((U8-'项目总表'!$B$15)/7)+1</x:f>
        <x:v>1</x:v>
      </x:c>
      <x:c r="G8" s="17" t="str">
        <x:f>IF(COUNT($E8:$F8)&lt;2,"",IF(AND(G$6&gt;=$E8,G$6&lt;=$F8),"■",""))</x:f>
        <x:v>■</x:v>
      </x:c>
      <x:c r="H8" s="17" t="str">
        <x:f>IF(COUNT($E8:$F8)&lt;2,"",IF(AND(H$6&gt;=$E8,H$6&lt;=$F8),"■",""))</x:f>
      </x:c>
      <x:c r="I8" s="17" t="str">
        <x:f>IF(COUNT($E8:$F8)&lt;2,"",IF(AND(I$6&gt;=$E8,I$6&lt;=$F8),"■",""))</x:f>
      </x:c>
      <x:c r="J8" s="17" t="str">
        <x:f>IF(COUNT($E8:$F8)&lt;2,"",IF(AND(J$6&gt;=$E8,J$6&lt;=$F8),"■",""))</x:f>
      </x:c>
      <x:c r="K8" s="17" t="str">
        <x:f>IF(COUNT($E8:$F8)&lt;2,"",IF(AND(K$6&gt;=$E8,K$6&lt;=$F8),"■",""))</x:f>
      </x:c>
      <x:c r="L8" s="17" t="str">
        <x:f>IF(COUNT($E8:$F8)&lt;2,"",IF(AND(L$6&gt;=$E8,L$6&lt;=$F8),"■",""))</x:f>
      </x:c>
      <x:c r="M8" s="17" t="str">
        <x:f>IF(COUNT($E8:$F8)&lt;2,"",IF(AND(M$6&gt;=$E8,M$6&lt;=$F8),"■",""))</x:f>
      </x:c>
      <x:c r="N8" s="17" t="str">
        <x:f>IF(COUNT($E8:$F8)&lt;2,"",IF(AND(N$6&gt;=$E8,N$6&lt;=$F8),"■",""))</x:f>
      </x:c>
      <x:c r="O8" s="9" t="str">
        <x:v>计划</x:v>
      </x:c>
      <x:c r="P8" s="9" t="str">
        <x:v>范围、进度、资源、成本、质量计划</x:v>
      </x:c>
      <x:c r="Q8" s="19" t="n">
        <x:v>2</x:v>
      </x:c>
      <x:c r="R8" s="16" t="str">
        <x:v>R01</x:v>
      </x:c>
      <x:c r="S8" s="19" t="n">
        <x:f>SUM(Y8:AB8)</x:f>
        <x:v>10</x:v>
      </x:c>
      <x:c r="T8" s="12" t="n">
        <x:f>WORKDAY('项目总表'!$B$15-1,AL8)</x:f>
        <x:v>46315</x:v>
      </x:c>
      <x:c r="U8" s="12" t="n">
        <x:f>WORKDAY(T8-1,Q8)</x:f>
        <x:v>46316</x:v>
      </x:c>
      <x:c r="V8" s="9" t="str">
        <x:v>计划内部评审</x:v>
      </x:c>
      <x:c r="W8" s="9" t="str">
        <x:v>四项计划、WBS与预算编制，项目经理主导，QA复核2小时</x:v>
      </x:c>
      <x:c r="X8" s="9" t="str">
        <x:v>仿真计划，未执行</x:v>
      </x:c>
      <x:c r="Y8" s="34" t="n">
        <x:f>AM8</x:f>
        <x:v>8</x:v>
      </x:c>
      <x:c r="Z8" s="34" t="n">
        <x:f>AN8</x:f>
        <x:v>0</x:v>
      </x:c>
      <x:c r="AA8" s="34" t="n">
        <x:f>AO8</x:f>
        <x:v>0</x:v>
      </x:c>
      <x:c r="AB8" s="34" t="n">
        <x:f>AP8</x:f>
        <x:v>2</x:v>
      </x:c>
      <x:c r="AC8" s="34" t="n">
        <x:f>Y8*'资源计划'!$F$8+Z8*'资源计划'!$F$9+AA8*'资源计划'!$F$10+AB8*'资源计划'!$F$11</x:f>
        <x:v>980</x:v>
      </x:c>
      <x:c r="AD8" s="29" t="str">
        <x:v>中</x:v>
      </x:c>
      <x:c r="AE8" s="29" t="str">
        <x:v>四项计划、WBS与预算编制，项目经理主导，QA复核2小时</x:v>
      </x:c>
      <x:c r="AF8" s="29" t="str">
        <x:v>是</x:v>
      </x:c>
      <x:c r="AG8" s="33" t="n">
        <x:v>0</x:v>
      </x:c>
      <x:c r="AH8" s="33" t="n">
        <x:f>Y8/Q8</x:f>
        <x:v>4</x:v>
      </x:c>
      <x:c r="AI8" s="33" t="n">
        <x:f>Z8/Q8</x:f>
        <x:v>0</x:v>
      </x:c>
      <x:c r="AJ8" s="33" t="n">
        <x:f>AA8/Q8</x:f>
        <x:v>0</x:v>
      </x:c>
      <x:c r="AK8" s="33" t="n">
        <x:f>AB8/Q8</x:f>
        <x:v>1</x:v>
      </x:c>
      <x:c r="AL8" s="41" t="n">
        <x:v>2</x:v>
      </x:c>
      <x:c r="AM8" s="33" t="n">
        <x:v>8</x:v>
      </x:c>
      <x:c r="AN8" s="33" t="n">
        <x:v>0</x:v>
      </x:c>
      <x:c r="AO8" s="33" t="n">
        <x:v>0</x:v>
      </x:c>
      <x:c r="AP8" s="33" t="n">
        <x:v>2</x:v>
      </x:c>
    </x:row>
    <x:row r="9" ht="58" customHeight="1">
      <x:c r="A9" s="16" t="str">
        <x:v>T1.3</x:v>
      </x:c>
      <x:c r="B9" s="16" t="str">
        <x:v>编写测试大纲与合成数据方案</x:v>
      </x:c>
      <x:c r="C9" s="16" t="str">
        <x:v>NFR-01～11, IF-01～04</x:v>
      </x:c>
      <x:c r="D9" s="16" t="str">
        <x:v>T1.1FS</x:v>
      </x:c>
      <x:c r="E9" s="17" t="n">
        <x:f>INT((T9-'项目总表'!$B$15)/7)+1</x:f>
        <x:v>1</x:v>
      </x:c>
      <x:c r="F9" s="17" t="n">
        <x:f>INT((U9-'项目总表'!$B$15)/7)+1</x:f>
        <x:v>1</x:v>
      </x:c>
      <x:c r="G9" s="17" t="str">
        <x:f>IF(COUNT($E9:$F9)&lt;2,"",IF(AND(G$6&gt;=$E9,G$6&lt;=$F9),"■",""))</x:f>
        <x:v>■</x:v>
      </x:c>
      <x:c r="H9" s="17" t="str">
        <x:f>IF(COUNT($E9:$F9)&lt;2,"",IF(AND(H$6&gt;=$E9,H$6&lt;=$F9),"■",""))</x:f>
      </x:c>
      <x:c r="I9" s="17" t="str">
        <x:f>IF(COUNT($E9:$F9)&lt;2,"",IF(AND(I$6&gt;=$E9,I$6&lt;=$F9),"■",""))</x:f>
      </x:c>
      <x:c r="J9" s="17" t="str">
        <x:f>IF(COUNT($E9:$F9)&lt;2,"",IF(AND(J$6&gt;=$E9,J$6&lt;=$F9),"■",""))</x:f>
      </x:c>
      <x:c r="K9" s="17" t="str">
        <x:f>IF(COUNT($E9:$F9)&lt;2,"",IF(AND(K$6&gt;=$E9,K$6&lt;=$F9),"■",""))</x:f>
      </x:c>
      <x:c r="L9" s="17" t="str">
        <x:f>IF(COUNT($E9:$F9)&lt;2,"",IF(AND(L$6&gt;=$E9,L$6&lt;=$F9),"■",""))</x:f>
      </x:c>
      <x:c r="M9" s="17" t="str">
        <x:f>IF(COUNT($E9:$F9)&lt;2,"",IF(AND(M$6&gt;=$E9,M$6&lt;=$F9),"■",""))</x:f>
      </x:c>
      <x:c r="N9" s="17" t="str">
        <x:f>IF(COUNT($E9:$F9)&lt;2,"",IF(AND(N$6&gt;=$E9,N$6&lt;=$F9),"■",""))</x:f>
      </x:c>
      <x:c r="O9" s="9" t="str">
        <x:v>质量策划</x:v>
      </x:c>
      <x:c r="P9" s="9" t="str">
        <x:v>测试大纲、验收数据与预期答案</x:v>
      </x:c>
      <x:c r="Q9" s="19" t="n">
        <x:v>3</x:v>
      </x:c>
      <x:c r="R9" s="16" t="str">
        <x:v>R04</x:v>
      </x:c>
      <x:c r="S9" s="19" t="n">
        <x:f>SUM(Y9:AB9)</x:f>
        <x:v>18</x:v>
      </x:c>
      <x:c r="T9" s="12" t="n">
        <x:f>WORKDAY('项目总表'!$B$15-1,AL9)</x:f>
        <x:v>46315</x:v>
      </x:c>
      <x:c r="U9" s="12" t="n">
        <x:f>WORKDAY(T9-1,Q9)</x:f>
        <x:v>46317</x:v>
      </x:c>
      <x:c r="V9" s="9" t="str">
        <x:v>AC-01～14</x:v>
      </x:c>
      <x:c r="W9" s="9" t="str">
        <x:v>14组验收、边界数据、压力数据方案</x:v>
      </x:c>
      <x:c r="X9" s="9" t="str">
        <x:v>仿真计划，未执行</x:v>
      </x:c>
      <x:c r="Y9" s="34" t="n">
        <x:f>AM9</x:f>
        <x:v>2</x:v>
      </x:c>
      <x:c r="Z9" s="34" t="n">
        <x:f>AN9</x:f>
        <x:v>0</x:v>
      </x:c>
      <x:c r="AA9" s="34" t="n">
        <x:f>AO9</x:f>
        <x:v>0</x:v>
      </x:c>
      <x:c r="AB9" s="34" t="n">
        <x:f>AP9</x:f>
        <x:v>16</x:v>
      </x:c>
      <x:c r="AC9" s="34" t="n">
        <x:f>Y9*'资源计划'!$F$8+Z9*'资源计划'!$F$9+AA9*'资源计划'!$F$10+AB9*'资源计划'!$F$11</x:f>
        <x:v>1640</x:v>
      </x:c>
      <x:c r="AD9" s="29" t="str">
        <x:v>中</x:v>
      </x:c>
      <x:c r="AE9" s="29" t="str">
        <x:v>14组验收、边界数据、压力数据方案</x:v>
      </x:c>
      <x:c r="AF9" s="29" t="str">
        <x:v>否</x:v>
      </x:c>
      <x:c r="AG9" s="33" t="n">
        <x:v>27</x:v>
      </x:c>
      <x:c r="AH9" s="33" t="n">
        <x:f>Y9/Q9</x:f>
        <x:v>0.6666666666666666</x:v>
      </x:c>
      <x:c r="AI9" s="33" t="n">
        <x:f>Z9/Q9</x:f>
        <x:v>0</x:v>
      </x:c>
      <x:c r="AJ9" s="33" t="n">
        <x:f>AA9/Q9</x:f>
        <x:v>0</x:v>
      </x:c>
      <x:c r="AK9" s="33" t="n">
        <x:f>AB9/Q9</x:f>
        <x:v>5.333333333333333</x:v>
      </x:c>
      <x:c r="AL9" s="41" t="n">
        <x:v>2</x:v>
      </x:c>
      <x:c r="AM9" s="33" t="n">
        <x:v>2</x:v>
      </x:c>
      <x:c r="AN9" s="33" t="n">
        <x:v>0</x:v>
      </x:c>
      <x:c r="AO9" s="33" t="n">
        <x:v>0</x:v>
      </x:c>
      <x:c r="AP9" s="33" t="n">
        <x:v>16</x:v>
      </x:c>
    </x:row>
    <x:row r="10" ht="58" customHeight="1">
      <x:c r="A10" s="16" t="str">
        <x:v>T2.1</x:v>
      </x:c>
      <x:c r="B10" s="16" t="str">
        <x:v>总体架构与模块设计</x:v>
      </x:c>
      <x:c r="C10" s="16" t="str">
        <x:v>FR-01～28, IF-01～04</x:v>
      </x:c>
      <x:c r="D10" s="16" t="str">
        <x:v>T1.1FS</x:v>
      </x:c>
      <x:c r="E10" s="17" t="n">
        <x:f>INT((T10-'项目总表'!$B$15)/7)+1</x:f>
        <x:v>1</x:v>
      </x:c>
      <x:c r="F10" s="17" t="n">
        <x:f>INT((U10-'项目总表'!$B$15)/7)+1</x:f>
        <x:v>1</x:v>
      </x:c>
      <x:c r="G10" s="17" t="str">
        <x:f>IF(COUNT($E10:$F10)&lt;2,"",IF(AND(G$6&gt;=$E10,G$6&lt;=$F10),"■",""))</x:f>
        <x:v>■</x:v>
      </x:c>
      <x:c r="H10" s="17" t="str">
        <x:f>IF(COUNT($E10:$F10)&lt;2,"",IF(AND(H$6&gt;=$E10,H$6&lt;=$F10),"■",""))</x:f>
      </x:c>
      <x:c r="I10" s="17" t="str">
        <x:f>IF(COUNT($E10:$F10)&lt;2,"",IF(AND(I$6&gt;=$E10,I$6&lt;=$F10),"■",""))</x:f>
      </x:c>
      <x:c r="J10" s="17" t="str">
        <x:f>IF(COUNT($E10:$F10)&lt;2,"",IF(AND(J$6&gt;=$E10,J$6&lt;=$F10),"■",""))</x:f>
      </x:c>
      <x:c r="K10" s="17" t="str">
        <x:f>IF(COUNT($E10:$F10)&lt;2,"",IF(AND(K$6&gt;=$E10,K$6&lt;=$F10),"■",""))</x:f>
      </x:c>
      <x:c r="L10" s="17" t="str">
        <x:f>IF(COUNT($E10:$F10)&lt;2,"",IF(AND(L$6&gt;=$E10,L$6&lt;=$F10),"■",""))</x:f>
      </x:c>
      <x:c r="M10" s="17" t="str">
        <x:f>IF(COUNT($E10:$F10)&lt;2,"",IF(AND(M$6&gt;=$E10,M$6&lt;=$F10),"■",""))</x:f>
      </x:c>
      <x:c r="N10" s="17" t="str">
        <x:f>IF(COUNT($E10:$F10)&lt;2,"",IF(AND(N$6&gt;=$E10,N$6&lt;=$F10),"■",""))</x:f>
      </x:c>
      <x:c r="O10" s="9" t="str">
        <x:v>设计</x:v>
      </x:c>
      <x:c r="P10" s="9" t="str">
        <x:v>总体设计与模块接口说明</x:v>
      </x:c>
      <x:c r="Q10" s="19" t="n">
        <x:v>2</x:v>
      </x:c>
      <x:c r="R10" s="16" t="str">
        <x:v>R02</x:v>
      </x:c>
      <x:c r="S10" s="19" t="n">
        <x:f>SUM(Y10:AB10)</x:f>
        <x:v>26</x:v>
      </x:c>
      <x:c r="T10" s="12" t="n">
        <x:f>WORKDAY('项目总表'!$B$15-1,AL10)</x:f>
        <x:v>46315</x:v>
      </x:c>
      <x:c r="U10" s="12" t="n">
        <x:f>WORKDAY(T10-1,Q10)</x:f>
        <x:v>46316</x:v>
      </x:c>
      <x:c r="V10" s="9" t="str">
        <x:v>设计评审</x:v>
      </x:c>
      <x:c r="W10" s="9" t="str">
        <x:v>分层架构、权限边界和状态流设计，QA参加2小时可测性评审</x:v>
      </x:c>
      <x:c r="X10" s="9" t="str">
        <x:v>仿真计划，未执行</x:v>
      </x:c>
      <x:c r="Y10" s="34" t="n">
        <x:f>AM10</x:f>
        <x:v>6</x:v>
      </x:c>
      <x:c r="Z10" s="34" t="n">
        <x:f>AN10</x:f>
        <x:v>12</x:v>
      </x:c>
      <x:c r="AA10" s="34" t="n">
        <x:f>AO10</x:f>
        <x:v>6</x:v>
      </x:c>
      <x:c r="AB10" s="34" t="n">
        <x:f>AP10</x:f>
        <x:v>2</x:v>
      </x:c>
      <x:c r="AC10" s="34" t="n">
        <x:f>Y10*'资源计划'!$F$8+Z10*'资源计划'!$F$9+AA10*'资源计划'!$F$10+AB10*'资源计划'!$F$11</x:f>
        <x:v>2820</x:v>
      </x:c>
      <x:c r="AD10" s="29" t="str">
        <x:v>高</x:v>
      </x:c>
      <x:c r="AE10" s="29" t="str">
        <x:v>分层架构、权限边界和状态流设计，QA参加2小时可测性评审</x:v>
      </x:c>
      <x:c r="AF10" s="29" t="str">
        <x:v>否</x:v>
      </x:c>
      <x:c r="AG10" s="33" t="n">
        <x:v>10</x:v>
      </x:c>
      <x:c r="AH10" s="33" t="n">
        <x:f>Y10/Q10</x:f>
        <x:v>3</x:v>
      </x:c>
      <x:c r="AI10" s="33" t="n">
        <x:f>Z10/Q10</x:f>
        <x:v>6</x:v>
      </x:c>
      <x:c r="AJ10" s="33" t="n">
        <x:f>AA10/Q10</x:f>
        <x:v>3</x:v>
      </x:c>
      <x:c r="AK10" s="33" t="n">
        <x:f>AB10/Q10</x:f>
        <x:v>1</x:v>
      </x:c>
      <x:c r="AL10" s="41" t="n">
        <x:v>2</x:v>
      </x:c>
      <x:c r="AM10" s="33" t="n">
        <x:v>6</x:v>
      </x:c>
      <x:c r="AN10" s="33" t="n">
        <x:v>12</x:v>
      </x:c>
      <x:c r="AO10" s="33" t="n">
        <x:v>6</x:v>
      </x:c>
      <x:c r="AP10" s="33" t="n">
        <x:v>2</x:v>
      </x:c>
    </x:row>
    <x:row r="11" ht="58" customHeight="1">
      <x:c r="A11" s="16" t="str">
        <x:v>T2.2</x:v>
      </x:c>
      <x:c r="B11" s="16" t="str">
        <x:v>数据模型、版本与事务设计</x:v>
      </x:c>
      <x:c r="C11" s="16" t="str">
        <x:v>FR-02～13, FR-21, FR-25～28, NFR-09</x:v>
      </x:c>
      <x:c r="D11" s="16" t="str">
        <x:v>T2.1FS</x:v>
      </x:c>
      <x:c r="E11" s="17" t="n">
        <x:f>INT((T11-'项目总表'!$B$15)/7)+1</x:f>
        <x:v>1</x:v>
      </x:c>
      <x:c r="F11" s="17" t="n">
        <x:f>INT((U11-'项目总表'!$B$15)/7)+1</x:f>
        <x:v>1</x:v>
      </x:c>
      <x:c r="G11" s="17" t="str">
        <x:f>IF(COUNT($E11:$F11)&lt;2,"",IF(AND(G$6&gt;=$E11,G$6&lt;=$F11),"■",""))</x:f>
        <x:v>■</x:v>
      </x:c>
      <x:c r="H11" s="17" t="str">
        <x:f>IF(COUNT($E11:$F11)&lt;2,"",IF(AND(H$6&gt;=$E11,H$6&lt;=$F11),"■",""))</x:f>
      </x:c>
      <x:c r="I11" s="17" t="str">
        <x:f>IF(COUNT($E11:$F11)&lt;2,"",IF(AND(I$6&gt;=$E11,I$6&lt;=$F11),"■",""))</x:f>
      </x:c>
      <x:c r="J11" s="17" t="str">
        <x:f>IF(COUNT($E11:$F11)&lt;2,"",IF(AND(J$6&gt;=$E11,J$6&lt;=$F11),"■",""))</x:f>
      </x:c>
      <x:c r="K11" s="17" t="str">
        <x:f>IF(COUNT($E11:$F11)&lt;2,"",IF(AND(K$6&gt;=$E11,K$6&lt;=$F11),"■",""))</x:f>
      </x:c>
      <x:c r="L11" s="17" t="str">
        <x:f>IF(COUNT($E11:$F11)&lt;2,"",IF(AND(L$6&gt;=$E11,L$6&lt;=$F11),"■",""))</x:f>
      </x:c>
      <x:c r="M11" s="17" t="str">
        <x:f>IF(COUNT($E11:$F11)&lt;2,"",IF(AND(M$6&gt;=$E11,M$6&lt;=$F11),"■",""))</x:f>
      </x:c>
      <x:c r="N11" s="17" t="str">
        <x:f>IF(COUNT($E11:$F11)&lt;2,"",IF(AND(N$6&gt;=$E11,N$6&lt;=$F11),"■",""))</x:f>
      </x:c>
      <x:c r="O11" s="9" t="str">
        <x:v>设计</x:v>
      </x:c>
      <x:c r="P11" s="9" t="str">
        <x:v>数据模型、迁移与快照审计设计</x:v>
      </x:c>
      <x:c r="Q11" s="19" t="n">
        <x:v>2</x:v>
      </x:c>
      <x:c r="R11" s="16" t="str">
        <x:v>R02</x:v>
      </x:c>
      <x:c r="S11" s="19" t="n">
        <x:f>SUM(Y11:AB11)</x:f>
        <x:v>16</x:v>
      </x:c>
      <x:c r="T11" s="12" t="n">
        <x:f>WORKDAY('项目总表'!$B$15-1,AL11)</x:f>
        <x:v>46317</x:v>
      </x:c>
      <x:c r="U11" s="12" t="n">
        <x:f>WORKDAY(T11-1,Q11)</x:f>
        <x:v>46318</x:v>
      </x:c>
      <x:c r="V11" s="9" t="str">
        <x:v>AC-01～04, AC-09</x:v>
      </x:c>
      <x:c r="W11" s="9" t="str">
        <x:v>版本、事务、冻结快照和审计模型设计</x:v>
      </x:c>
      <x:c r="X11" s="9" t="str">
        <x:v>仿真计划，未执行</x:v>
      </x:c>
      <x:c r="Y11" s="34" t="n">
        <x:f>AM11</x:f>
        <x:v>4</x:v>
      </x:c>
      <x:c r="Z11" s="34" t="n">
        <x:f>AN11</x:f>
        <x:v>12</x:v>
      </x:c>
      <x:c r="AA11" s="34" t="n">
        <x:f>AO11</x:f>
        <x:v>0</x:v>
      </x:c>
      <x:c r="AB11" s="34" t="n">
        <x:f>AP11</x:f>
        <x:v>0</x:v>
      </x:c>
      <x:c r="AC11" s="34" t="n">
        <x:f>Y11*'资源计划'!$F$8+Z11*'资源计划'!$F$9+AA11*'资源计划'!$F$10+AB11*'资源计划'!$F$11</x:f>
        <x:v>1840</x:v>
      </x:c>
      <x:c r="AD11" s="29" t="str">
        <x:v>高</x:v>
      </x:c>
      <x:c r="AE11" s="29" t="str">
        <x:v>版本、事务、冻结快照和审计模型设计</x:v>
      </x:c>
      <x:c r="AF11" s="29" t="str">
        <x:v>否</x:v>
      </x:c>
      <x:c r="AG11" s="33" t="n">
        <x:v>11</x:v>
      </x:c>
      <x:c r="AH11" s="33" t="n">
        <x:f>Y11/Q11</x:f>
        <x:v>2</x:v>
      </x:c>
      <x:c r="AI11" s="33" t="n">
        <x:f>Z11/Q11</x:f>
        <x:v>6</x:v>
      </x:c>
      <x:c r="AJ11" s="33" t="n">
        <x:f>AA11/Q11</x:f>
        <x:v>0</x:v>
      </x:c>
      <x:c r="AK11" s="33" t="n">
        <x:f>AB11/Q11</x:f>
        <x:v>0</x:v>
      </x:c>
      <x:c r="AL11" s="41" t="n">
        <x:v>4</x:v>
      </x:c>
      <x:c r="AM11" s="33" t="n">
        <x:v>4</x:v>
      </x:c>
      <x:c r="AN11" s="33" t="n">
        <x:v>12</x:v>
      </x:c>
      <x:c r="AO11" s="33" t="n">
        <x:v>0</x:v>
      </x:c>
      <x:c r="AP11" s="33" t="n">
        <x:v>0</x:v>
      </x:c>
    </x:row>
    <x:row r="12" ht="58" customHeight="1">
      <x:c r="A12" s="16" t="str">
        <x:v>T2.3</x:v>
      </x:c>
      <x:c r="B12" s="16" t="str">
        <x:v>内部接口与导出契约设计</x:v>
      </x:c>
      <x:c r="C12" s="16" t="str">
        <x:v>IF-01～04</x:v>
      </x:c>
      <x:c r="D12" s="16" t="str">
        <x:v>T2.1FS</x:v>
      </x:c>
      <x:c r="E12" s="17" t="n">
        <x:f>INT((T12-'项目总表'!$B$15)/7)+1</x:f>
        <x:v>1</x:v>
      </x:c>
      <x:c r="F12" s="17" t="n">
        <x:f>INT((U12-'项目总表'!$B$15)/7)+1</x:f>
        <x:v>1</x:v>
      </x:c>
      <x:c r="G12" s="17" t="str">
        <x:f>IF(COUNT($E12:$F12)&lt;2,"",IF(AND(G$6&gt;=$E12,G$6&lt;=$F12),"■",""))</x:f>
        <x:v>■</x:v>
      </x:c>
      <x:c r="H12" s="17" t="str">
        <x:f>IF(COUNT($E12:$F12)&lt;2,"",IF(AND(H$6&gt;=$E12,H$6&lt;=$F12),"■",""))</x:f>
      </x:c>
      <x:c r="I12" s="17" t="str">
        <x:f>IF(COUNT($E12:$F12)&lt;2,"",IF(AND(I$6&gt;=$E12,I$6&lt;=$F12),"■",""))</x:f>
      </x:c>
      <x:c r="J12" s="17" t="str">
        <x:f>IF(COUNT($E12:$F12)&lt;2,"",IF(AND(J$6&gt;=$E12,J$6&lt;=$F12),"■",""))</x:f>
      </x:c>
      <x:c r="K12" s="17" t="str">
        <x:f>IF(COUNT($E12:$F12)&lt;2,"",IF(AND(K$6&gt;=$E12,K$6&lt;=$F12),"■",""))</x:f>
      </x:c>
      <x:c r="L12" s="17" t="str">
        <x:f>IF(COUNT($E12:$F12)&lt;2,"",IF(AND(L$6&gt;=$E12,L$6&lt;=$F12),"■",""))</x:f>
      </x:c>
      <x:c r="M12" s="17" t="str">
        <x:f>IF(COUNT($E12:$F12)&lt;2,"",IF(AND(M$6&gt;=$E12,M$6&lt;=$F12),"■",""))</x:f>
      </x:c>
      <x:c r="N12" s="17" t="str">
        <x:f>IF(COUNT($E12:$F12)&lt;2,"",IF(AND(N$6&gt;=$E12,N$6&lt;=$F12),"■",""))</x:f>
      </x:c>
      <x:c r="O12" s="9" t="str">
        <x:v>设计</x:v>
      </x:c>
      <x:c r="P12" s="9" t="str">
        <x:v>内部API、导出、监控和MOCK契约</x:v>
      </x:c>
      <x:c r="Q12" s="19" t="n">
        <x:v>2</x:v>
      </x:c>
      <x:c r="R12" s="16" t="str">
        <x:v>R01</x:v>
      </x:c>
      <x:c r="S12" s="19" t="n">
        <x:f>SUM(Y12:AB12)</x:f>
        <x:v>16</x:v>
      </x:c>
      <x:c r="T12" s="12" t="n">
        <x:f>WORKDAY('项目总表'!$B$15-1,AL12)</x:f>
        <x:v>46317</x:v>
      </x:c>
      <x:c r="U12" s="12" t="n">
        <x:f>WORKDAY(T12-1,Q12)</x:f>
        <x:v>46318</x:v>
      </x:c>
      <x:c r="V12" s="9" t="str">
        <x:v>AC-06, AC-10A, AC-14</x:v>
      </x:c>
      <x:c r="W12" s="9" t="str">
        <x:v>已有SRS契约细化、错误码及导出接口设计</x:v>
      </x:c>
      <x:c r="X12" s="9" t="str">
        <x:v>仿真计划，未执行</x:v>
      </x:c>
      <x:c r="Y12" s="34" t="n">
        <x:f>AM12</x:f>
        <x:v>6</x:v>
      </x:c>
      <x:c r="Z12" s="34" t="n">
        <x:f>AN12</x:f>
        <x:v>2</x:v>
      </x:c>
      <x:c r="AA12" s="34" t="n">
        <x:f>AO12</x:f>
        <x:v>4</x:v>
      </x:c>
      <x:c r="AB12" s="34" t="n">
        <x:f>AP12</x:f>
        <x:v>4</x:v>
      </x:c>
      <x:c r="AC12" s="34" t="n">
        <x:f>Y12*'资源计划'!$F$8+Z12*'资源计划'!$F$9+AA12*'资源计划'!$F$10+AB12*'资源计划'!$F$11</x:f>
        <x:v>1600</x:v>
      </x:c>
      <x:c r="AD12" s="29" t="str">
        <x:v>高</x:v>
      </x:c>
      <x:c r="AE12" s="29" t="str">
        <x:v>已有SRS契约细化、错误码及导出接口设计</x:v>
      </x:c>
      <x:c r="AF12" s="29" t="str">
        <x:v>否</x:v>
      </x:c>
      <x:c r="AG12" s="33" t="n">
        <x:v>10</x:v>
      </x:c>
      <x:c r="AH12" s="33" t="n">
        <x:f>Y12/Q12</x:f>
        <x:v>3</x:v>
      </x:c>
      <x:c r="AI12" s="33" t="n">
        <x:f>Z12/Q12</x:f>
        <x:v>1</x:v>
      </x:c>
      <x:c r="AJ12" s="33" t="n">
        <x:f>AA12/Q12</x:f>
        <x:v>2</x:v>
      </x:c>
      <x:c r="AK12" s="33" t="n">
        <x:f>AB12/Q12</x:f>
        <x:v>2</x:v>
      </x:c>
      <x:c r="AL12" s="41" t="n">
        <x:v>4</x:v>
      </x:c>
      <x:c r="AM12" s="33" t="n">
        <x:v>6</x:v>
      </x:c>
      <x:c r="AN12" s="33" t="n">
        <x:v>2</x:v>
      </x:c>
      <x:c r="AO12" s="33" t="n">
        <x:v>4</x:v>
      </x:c>
      <x:c r="AP12" s="33" t="n">
        <x:v>4</x:v>
      </x:c>
    </x:row>
    <x:row r="13" ht="58" customHeight="1">
      <x:c r="A13" s="16" t="str">
        <x:v>T2.4</x:v>
      </x:c>
      <x:c r="B13" s="16" t="str">
        <x:v>确认国家真实交换输入</x:v>
      </x:c>
      <x:c r="C13" s="16" t="str">
        <x:v>FR-26, IF-01</x:v>
      </x:c>
      <x:c r="D13" s="16" t="str">
        <x:v>T1.1FS</x:v>
      </x:c>
      <x:c r="E13" s="17" t="n">
        <x:f>INT((T13-'项目总表'!$B$15)/7)+1</x:f>
        <x:v>2</x:v>
      </x:c>
      <x:c r="F13" s="17" t="n">
        <x:f>INT((U13-'项目总表'!$B$15)/7)+1</x:f>
        <x:v>2</x:v>
      </x:c>
      <x:c r="G13" s="17" t="str">
        <x:f>IF(COUNT($E13:$F13)&lt;2,"",IF(AND(G$6&gt;=$E13,G$6&lt;=$F13),"■",""))</x:f>
      </x:c>
      <x:c r="H13" s="17" t="str">
        <x:f>IF(COUNT($E13:$F13)&lt;2,"",IF(AND(H$6&gt;=$E13,H$6&lt;=$F13),"■",""))</x:f>
        <x:v>■</x:v>
      </x:c>
      <x:c r="I13" s="17" t="str">
        <x:f>IF(COUNT($E13:$F13)&lt;2,"",IF(AND(I$6&gt;=$E13,I$6&lt;=$F13),"■",""))</x:f>
      </x:c>
      <x:c r="J13" s="17" t="str">
        <x:f>IF(COUNT($E13:$F13)&lt;2,"",IF(AND(J$6&gt;=$E13,J$6&lt;=$F13),"■",""))</x:f>
      </x:c>
      <x:c r="K13" s="17" t="str">
        <x:f>IF(COUNT($E13:$F13)&lt;2,"",IF(AND(K$6&gt;=$E13,K$6&lt;=$F13),"■",""))</x:f>
      </x:c>
      <x:c r="L13" s="17" t="str">
        <x:f>IF(COUNT($E13:$F13)&lt;2,"",IF(AND(L$6&gt;=$E13,L$6&lt;=$F13),"■",""))</x:f>
      </x:c>
      <x:c r="M13" s="17" t="str">
        <x:f>IF(COUNT($E13:$F13)&lt;2,"",IF(AND(M$6&gt;=$E13,M$6&lt;=$F13),"■",""))</x:f>
      </x:c>
      <x:c r="N13" s="17" t="str">
        <x:f>IF(COUNT($E13:$F13)&lt;2,"",IF(AND(N$6&gt;=$E13,N$6&lt;=$F13),"■",""))</x:f>
      </x:c>
      <x:c r="O13" s="9" t="str">
        <x:v>外部输入</x:v>
      </x:c>
      <x:c r="P13" s="9" t="str">
        <x:v>协议版本、端点用途、认证与字段编码映射</x:v>
      </x:c>
      <x:c r="Q13" s="19" t="n">
        <x:v>3</x:v>
      </x:c>
      <x:c r="R13" s="16" t="str">
        <x:v>R01</x:v>
      </x:c>
      <x:c r="S13" s="19" t="n">
        <x:f>SUM(Y13:AB13)</x:f>
        <x:v>10</x:v>
      </x:c>
      <x:c r="T13" s="12" t="n">
        <x:f>WORKDAY('项目总表'!$B$15-1,AL13)</x:f>
        <x:v>46321</x:v>
      </x:c>
      <x:c r="U13" s="12" t="n">
        <x:f>WORKDAY(T13-1,Q13)</x:f>
        <x:v>46323</x:v>
      </x:c>
      <x:c r="V13" s="9" t="str">
        <x:v>AC-10B</x:v>
      </x:c>
      <x:c r="W13" s="9" t="str">
        <x:v>仿真假设W2具备协议、端点、测试凭据和字段映射</x:v>
      </x:c>
      <x:c r="X13" s="9" t="str">
        <x:v>仿真计划，未执行</x:v>
      </x:c>
      <x:c r="Y13" s="34" t="n">
        <x:f>AM13</x:f>
        <x:v>6</x:v>
      </x:c>
      <x:c r="Z13" s="34" t="n">
        <x:f>AN13</x:f>
        <x:v>4</x:v>
      </x:c>
      <x:c r="AA13" s="34" t="n">
        <x:f>AO13</x:f>
        <x:v>0</x:v>
      </x:c>
      <x:c r="AB13" s="34" t="n">
        <x:f>AP13</x:f>
        <x:v>0</x:v>
      </x:c>
      <x:c r="AC13" s="34" t="n">
        <x:f>Y13*'资源计划'!$F$8+Z13*'资源计划'!$F$9+AA13*'资源计划'!$F$10+AB13*'资源计划'!$F$11</x:f>
        <x:v>1080</x:v>
      </x:c>
      <x:c r="AD13" s="29" t="str">
        <x:v>中</x:v>
      </x:c>
      <x:c r="AE13" s="29" t="str">
        <x:v>仿真假设W2具备协议、端点、测试凭据和字段映射</x:v>
      </x:c>
      <x:c r="AF13" s="29" t="str">
        <x:v>否</x:v>
      </x:c>
      <x:c r="AG13" s="33" t="n">
        <x:v>21</x:v>
      </x:c>
      <x:c r="AH13" s="33" t="n">
        <x:f>Y13/Q13</x:f>
        <x:v>2</x:v>
      </x:c>
      <x:c r="AI13" s="33" t="n">
        <x:f>Z13/Q13</x:f>
        <x:v>1.3333333333333333</x:v>
      </x:c>
      <x:c r="AJ13" s="33" t="n">
        <x:f>AA13/Q13</x:f>
        <x:v>0</x:v>
      </x:c>
      <x:c r="AK13" s="33" t="n">
        <x:f>AB13/Q13</x:f>
        <x:v>0</x:v>
      </x:c>
      <x:c r="AL13" s="41" t="n">
        <x:v>6</x:v>
      </x:c>
      <x:c r="AM13" s="33" t="n">
        <x:v>6</x:v>
      </x:c>
      <x:c r="AN13" s="33" t="n">
        <x:v>4</x:v>
      </x:c>
      <x:c r="AO13" s="33" t="n">
        <x:v>0</x:v>
      </x:c>
      <x:c r="AP13" s="33" t="n">
        <x:v>0</x:v>
      </x:c>
    </x:row>
    <x:row r="14" ht="58" customHeight="1">
      <x:c r="A14" s="16" t="str">
        <x:v>T2.5</x:v>
      </x:c>
      <x:c r="B14" s="16" t="str">
        <x:v>维护计划与配置版本</x:v>
      </x:c>
      <x:c r="C14" s="16" t="str">
        <x:v>项目管理</x:v>
      </x:c>
      <x:c r="D14" s="16" t="str">
        <x:v>T1.2FS</x:v>
      </x:c>
      <x:c r="E14" s="17" t="n">
        <x:f>INT((T14-'项目总表'!$B$15)/7)+1</x:f>
        <x:v>1</x:v>
      </x:c>
      <x:c r="F14" s="17" t="n">
        <x:f>INT((U14-'项目总表'!$B$15)/7)+1</x:f>
        <x:v>8</x:v>
      </x:c>
      <x:c r="G14" s="17" t="str">
        <x:f>IF(COUNT($E14:$F14)&lt;2,"",IF(AND(G$6&gt;=$E14,G$6&lt;=$F14),"■",""))</x:f>
        <x:v>■</x:v>
      </x:c>
      <x:c r="H14" s="17" t="str">
        <x:f>IF(COUNT($E14:$F14)&lt;2,"",IF(AND(H$6&gt;=$E14,H$6&lt;=$F14),"■",""))</x:f>
        <x:v>■</x:v>
      </x:c>
      <x:c r="I14" s="17" t="str">
        <x:f>IF(COUNT($E14:$F14)&lt;2,"",IF(AND(I$6&gt;=$E14,I$6&lt;=$F14),"■",""))</x:f>
        <x:v>■</x:v>
      </x:c>
      <x:c r="J14" s="17" t="str">
        <x:f>IF(COUNT($E14:$F14)&lt;2,"",IF(AND(J$6&gt;=$E14,J$6&lt;=$F14),"■",""))</x:f>
        <x:v>■</x:v>
      </x:c>
      <x:c r="K14" s="17" t="str">
        <x:f>IF(COUNT($E14:$F14)&lt;2,"",IF(AND(K$6&gt;=$E14,K$6&lt;=$F14),"■",""))</x:f>
        <x:v>■</x:v>
      </x:c>
      <x:c r="L14" s="17" t="str">
        <x:f>IF(COUNT($E14:$F14)&lt;2,"",IF(AND(L$6&gt;=$E14,L$6&lt;=$F14),"■",""))</x:f>
        <x:v>■</x:v>
      </x:c>
      <x:c r="M14" s="17" t="str">
        <x:f>IF(COUNT($E14:$F14)&lt;2,"",IF(AND(M$6&gt;=$E14,M$6&lt;=$F14),"■",""))</x:f>
        <x:v>■</x:v>
      </x:c>
      <x:c r="N14" s="17" t="str">
        <x:f>IF(COUNT($E14:$F14)&lt;2,"",IF(AND(N$6&gt;=$E14,N$6&lt;=$F14),"■",""))</x:f>
        <x:v>■</x:v>
      </x:c>
      <x:c r="O14" s="9" t="str">
        <x:v>计划迭代</x:v>
      </x:c>
      <x:c r="P14" s="9" t="str">
        <x:v>计划修订记录、配置和文档版本</x:v>
      </x:c>
      <x:c r="Q14" s="19" t="n">
        <x:v>36</x:v>
      </x:c>
      <x:c r="R14" s="16" t="str">
        <x:v>R01</x:v>
      </x:c>
      <x:c r="S14" s="19" t="n">
        <x:f>SUM(Y14:AB14)</x:f>
        <x:v>36</x:v>
      </x:c>
      <x:c r="T14" s="12" t="n">
        <x:f>WORKDAY('项目总表'!$B$15-1,AL14)</x:f>
        <x:v>46317</x:v>
      </x:c>
      <x:c r="U14" s="12" t="n">
        <x:f>WORKDAY(T14-1,Q14)</x:f>
        <x:v>46366</x:v>
      </x:c>
      <x:c r="V14" s="9" t="str">
        <x:v>版本复核</x:v>
      </x:c>
      <x:c r="W14" s="9" t="str">
        <x:v>D4–D39每日1小时配置、计划、风险和成本跟踪</x:v>
      </x:c>
      <x:c r="X14" s="9" t="str">
        <x:v>仿真计划，未执行</x:v>
      </x:c>
      <x:c r="Y14" s="34" t="n">
        <x:f>AM14</x:f>
        <x:v>36</x:v>
      </x:c>
      <x:c r="Z14" s="34" t="n">
        <x:f>AN14</x:f>
        <x:v>0</x:v>
      </x:c>
      <x:c r="AA14" s="34" t="n">
        <x:f>AO14</x:f>
        <x:v>0</x:v>
      </x:c>
      <x:c r="AB14" s="34" t="n">
        <x:f>AP14</x:f>
        <x:v>0</x:v>
      </x:c>
      <x:c r="AC14" s="34" t="n">
        <x:f>Y14*'资源计划'!$F$8+Z14*'资源计划'!$F$9+AA14*'资源计划'!$F$10+AB14*'资源计划'!$F$11</x:f>
        <x:v>3600</x:v>
      </x:c>
      <x:c r="AD14" s="29" t="str">
        <x:v>中</x:v>
      </x:c>
      <x:c r="AE14" s="29" t="str">
        <x:v>D4–D39每日1小时配置、计划、风险和成本跟踪</x:v>
      </x:c>
      <x:c r="AF14" s="29" t="str">
        <x:v>是</x:v>
      </x:c>
      <x:c r="AG14" s="33" t="n">
        <x:v>0</x:v>
      </x:c>
      <x:c r="AH14" s="33" t="n">
        <x:f>Y14/Q14</x:f>
        <x:v>1</x:v>
      </x:c>
      <x:c r="AI14" s="33" t="n">
        <x:f>Z14/Q14</x:f>
        <x:v>0</x:v>
      </x:c>
      <x:c r="AJ14" s="33" t="n">
        <x:f>AA14/Q14</x:f>
        <x:v>0</x:v>
      </x:c>
      <x:c r="AK14" s="33" t="n">
        <x:f>AB14/Q14</x:f>
        <x:v>0</x:v>
      </x:c>
      <x:c r="AL14" s="41" t="n">
        <x:v>4</x:v>
      </x:c>
      <x:c r="AM14" s="33" t="n">
        <x:v>36</x:v>
      </x:c>
      <x:c r="AN14" s="33" t="n">
        <x:v>0</x:v>
      </x:c>
      <x:c r="AO14" s="33" t="n">
        <x:v>0</x:v>
      </x:c>
      <x:c r="AP14" s="33" t="n">
        <x:v>0</x:v>
      </x:c>
    </x:row>
    <x:row r="15" ht="58" customHeight="1">
      <x:c r="A15" s="16" t="str">
        <x:v>T3.1</x:v>
      </x:c>
      <x:c r="B15" s="16" t="str">
        <x:v>建立开发与本地集成环境</x:v>
      </x:c>
      <x:c r="C15" s="16" t="str">
        <x:v>NFR-11</x:v>
      </x:c>
      <x:c r="D15" s="16" t="str">
        <x:v>T2.1FS</x:v>
      </x:c>
      <x:c r="E15" s="17" t="n">
        <x:f>INT((T15-'项目总表'!$B$15)/7)+1</x:f>
        <x:v>1</x:v>
      </x:c>
      <x:c r="F15" s="17" t="n">
        <x:f>INT((U15-'项目总表'!$B$15)/7)+1</x:f>
        <x:v>2</x:v>
      </x:c>
      <x:c r="G15" s="17" t="str">
        <x:f>IF(COUNT($E15:$F15)&lt;2,"",IF(AND(G$6&gt;=$E15,G$6&lt;=$F15),"■",""))</x:f>
        <x:v>■</x:v>
      </x:c>
      <x:c r="H15" s="17" t="str">
        <x:f>IF(COUNT($E15:$F15)&lt;2,"",IF(AND(H$6&gt;=$E15,H$6&lt;=$F15),"■",""))</x:f>
        <x:v>■</x:v>
      </x:c>
      <x:c r="I15" s="17" t="str">
        <x:f>IF(COUNT($E15:$F15)&lt;2,"",IF(AND(I$6&gt;=$E15,I$6&lt;=$F15),"■",""))</x:f>
      </x:c>
      <x:c r="J15" s="17" t="str">
        <x:f>IF(COUNT($E15:$F15)&lt;2,"",IF(AND(J$6&gt;=$E15,J$6&lt;=$F15),"■",""))</x:f>
      </x:c>
      <x:c r="K15" s="17" t="str">
        <x:f>IF(COUNT($E15:$F15)&lt;2,"",IF(AND(K$6&gt;=$E15,K$6&lt;=$F15),"■",""))</x:f>
      </x:c>
      <x:c r="L15" s="17" t="str">
        <x:f>IF(COUNT($E15:$F15)&lt;2,"",IF(AND(L$6&gt;=$E15,L$6&lt;=$F15),"■",""))</x:f>
      </x:c>
      <x:c r="M15" s="17" t="str">
        <x:f>IF(COUNT($E15:$F15)&lt;2,"",IF(AND(M$6&gt;=$E15,M$6&lt;=$F15),"■",""))</x:f>
      </x:c>
      <x:c r="N15" s="17" t="str">
        <x:f>IF(COUNT($E15:$F15)&lt;2,"",IF(AND(N$6&gt;=$E15,N$6&lt;=$F15),"■",""))</x:f>
      </x:c>
      <x:c r="O15" s="9" t="str">
        <x:v>开发准备</x:v>
      </x:c>
      <x:c r="P15" s="9" t="str">
        <x:v>项目骨架、锁定依赖与启动说明</x:v>
      </x:c>
      <x:c r="Q15" s="19" t="n">
        <x:v>2</x:v>
      </x:c>
      <x:c r="R15" s="16" t="str">
        <x:v>R04</x:v>
      </x:c>
      <x:c r="S15" s="19" t="n">
        <x:f>SUM(Y15:AB15)</x:f>
        <x:v>16</x:v>
      </x:c>
      <x:c r="T15" s="12" t="n">
        <x:f>WORKDAY('项目总表'!$B$15-1,AL15)</x:f>
        <x:v>46318</x:v>
      </x:c>
      <x:c r="U15" s="12" t="n">
        <x:f>WORKDAY(T15-1,Q15)</x:f>
        <x:v>46321</x:v>
      </x:c>
      <x:c r="V15" s="9" t="str">
        <x:v>AC-14</x:v>
      </x:c>
      <x:c r="W15" s="9" t="str">
        <x:v>复用通用脚手架，配置本地环境与依赖</x:v>
      </x:c>
      <x:c r="X15" s="9" t="str">
        <x:v>仿真计划，未执行</x:v>
      </x:c>
      <x:c r="Y15" s="34" t="n">
        <x:f>AM15</x:f>
        <x:v>0</x:v>
      </x:c>
      <x:c r="Z15" s="34" t="n">
        <x:f>AN15</x:f>
        <x:v>0</x:v>
      </x:c>
      <x:c r="AA15" s="34" t="n">
        <x:f>AO15</x:f>
        <x:v>4</x:v>
      </x:c>
      <x:c r="AB15" s="34" t="n">
        <x:f>AP15</x:f>
        <x:v>12</x:v>
      </x:c>
      <x:c r="AC15" s="34" t="n">
        <x:f>Y15*'资源计划'!$F$8+Z15*'资源计划'!$F$9+AA15*'资源计划'!$F$10+AB15*'资源计划'!$F$11</x:f>
        <x:v>1480</x:v>
      </x:c>
      <x:c r="AD15" s="29" t="str">
        <x:v>中</x:v>
      </x:c>
      <x:c r="AE15" s="29" t="str">
        <x:v>复用通用脚手架，配置本地环境与依赖</x:v>
      </x:c>
      <x:c r="AF15" s="29" t="str">
        <x:v>否</x:v>
      </x:c>
      <x:c r="AG15" s="33" t="n">
        <x:v>9</x:v>
      </x:c>
      <x:c r="AH15" s="33" t="n">
        <x:f>Y15/Q15</x:f>
        <x:v>0</x:v>
      </x:c>
      <x:c r="AI15" s="33" t="n">
        <x:f>Z15/Q15</x:f>
        <x:v>0</x:v>
      </x:c>
      <x:c r="AJ15" s="33" t="n">
        <x:f>AA15/Q15</x:f>
        <x:v>2</x:v>
      </x:c>
      <x:c r="AK15" s="33" t="n">
        <x:f>AB15/Q15</x:f>
        <x:v>6</x:v>
      </x:c>
      <x:c r="AL15" s="41" t="n">
        <x:v>5</x:v>
      </x:c>
      <x:c r="AM15" s="33" t="n">
        <x:v>0</x:v>
      </x:c>
      <x:c r="AN15" s="33" t="n">
        <x:v>0</x:v>
      </x:c>
      <x:c r="AO15" s="33" t="n">
        <x:v>4</x:v>
      </x:c>
      <x:c r="AP15" s="33" t="n">
        <x:v>12</x:v>
      </x:c>
    </x:row>
    <x:row r="16" ht="58" customHeight="1">
      <x:c r="A16" s="16" t="str">
        <x:v>T3.2</x:v>
      </x:c>
      <x:c r="B16" s="16" t="str">
        <x:v>实现认证、权限和角色基础</x:v>
      </x:c>
      <x:c r="C16" s="16" t="str">
        <x:v>FR-01, FR-22, FR-23, NFR-06～08, IF-02</x:v>
      </x:c>
      <x:c r="D16" s="16" t="str">
        <x:v>T2.3FS; T3.1FS</x:v>
      </x:c>
      <x:c r="E16" s="17" t="n">
        <x:f>INT((T16-'项目总表'!$B$15)/7)+1</x:f>
        <x:v>2</x:v>
      </x:c>
      <x:c r="F16" s="17" t="n">
        <x:f>INT((U16-'项目总表'!$B$15)/7)+1</x:f>
        <x:v>2</x:v>
      </x:c>
      <x:c r="G16" s="17" t="str">
        <x:f>IF(COUNT($E16:$F16)&lt;2,"",IF(AND(G$6&gt;=$E16,G$6&lt;=$F16),"■",""))</x:f>
      </x:c>
      <x:c r="H16" s="17" t="str">
        <x:f>IF(COUNT($E16:$F16)&lt;2,"",IF(AND(H$6&gt;=$E16,H$6&lt;=$F16),"■",""))</x:f>
        <x:v>■</x:v>
      </x:c>
      <x:c r="I16" s="17" t="str">
        <x:f>IF(COUNT($E16:$F16)&lt;2,"",IF(AND(I$6&gt;=$E16,I$6&lt;=$F16),"■",""))</x:f>
      </x:c>
      <x:c r="J16" s="17" t="str">
        <x:f>IF(COUNT($E16:$F16)&lt;2,"",IF(AND(J$6&gt;=$E16,J$6&lt;=$F16),"■",""))</x:f>
      </x:c>
      <x:c r="K16" s="17" t="str">
        <x:f>IF(COUNT($E16:$F16)&lt;2,"",IF(AND(K$6&gt;=$E16,K$6&lt;=$F16),"■",""))</x:f>
      </x:c>
      <x:c r="L16" s="17" t="str">
        <x:f>IF(COUNT($E16:$F16)&lt;2,"",IF(AND(L$6&gt;=$E16,L$6&lt;=$F16),"■",""))</x:f>
      </x:c>
      <x:c r="M16" s="17" t="str">
        <x:f>IF(COUNT($E16:$F16)&lt;2,"",IF(AND(M$6&gt;=$E16,M$6&lt;=$F16),"■",""))</x:f>
      </x:c>
      <x:c r="N16" s="17" t="str">
        <x:f>IF(COUNT($E16:$F16)&lt;2,"",IF(AND(N$6&gt;=$E16,N$6&lt;=$F16),"■",""))</x:f>
      </x:c>
      <x:c r="O16" s="9" t="str">
        <x:v>开发</x:v>
      </x:c>
      <x:c r="P16" s="9" t="str">
        <x:v>会话、范围鉴权、TOTP与角色管理</x:v>
      </x:c>
      <x:c r="Q16" s="19" t="n">
        <x:v>3</x:v>
      </x:c>
      <x:c r="R16" s="16" t="str">
        <x:v>R01</x:v>
      </x:c>
      <x:c r="S16" s="19" t="n">
        <x:f>SUM(Y16:AB16)</x:f>
        <x:v>18</x:v>
      </x:c>
      <x:c r="T16" s="12" t="n">
        <x:f>WORKDAY('项目总表'!$B$15-1,AL16)</x:f>
        <x:v>46322</x:v>
      </x:c>
      <x:c r="U16" s="12" t="n">
        <x:f>WORKDAY(T16-1,Q16)</x:f>
        <x:v>46324</x:v>
      </x:c>
      <x:c r="V16" s="9" t="str">
        <x:v>AC-05, AC-08, AC-13</x:v>
      </x:c>
      <x:c r="W16" s="9" t="str">
        <x:v>认证、范围鉴权与TOTP复用成熟库，人工复核；仿真假设成熟组件和AI辅助使开发工作量为独立手写初估的50%，仍保留人工复核，非已完成代码复用</x:v>
      </x:c>
      <x:c r="X16" s="9" t="str">
        <x:v>仿真计划，未执行</x:v>
      </x:c>
      <x:c r="Y16" s="34" t="n">
        <x:f>AM16*'项目总表'!$B$53</x:f>
        <x:v>9</x:v>
      </x:c>
      <x:c r="Z16" s="34" t="n">
        <x:f>AN16*'项目总表'!$B$53</x:f>
        <x:v>3</x:v>
      </x:c>
      <x:c r="AA16" s="34" t="n">
        <x:f>AO16*'项目总表'!$B$53</x:f>
        <x:v>4</x:v>
      </x:c>
      <x:c r="AB16" s="34" t="n">
        <x:f>AP16*'项目总表'!$B$53</x:f>
        <x:v>2</x:v>
      </x:c>
      <x:c r="AC16" s="34" t="n">
        <x:f>Y16*'资源计划'!$F$8+Z16*'资源计划'!$F$9+AA16*'资源计划'!$F$10+AB16*'资源计划'!$F$11</x:f>
        <x:v>1840</x:v>
      </x:c>
      <x:c r="AD16" s="29" t="str">
        <x:v>高</x:v>
      </x:c>
      <x:c r="AE16" s="29" t="str">
        <x:v>认证、范围鉴权与TOTP复用成熟库，人工复核；仿真假设成熟组件和AI辅助使开发工作量为独立手写初估的50%，仍保留人工复核，非已完成代码复用</x:v>
      </x:c>
      <x:c r="AF16" s="29" t="str">
        <x:v>否</x:v>
      </x:c>
      <x:c r="AG16" s="33" t="n">
        <x:v>9</x:v>
      </x:c>
      <x:c r="AH16" s="33" t="n">
        <x:f>Y16/Q16</x:f>
        <x:v>3</x:v>
      </x:c>
      <x:c r="AI16" s="33" t="n">
        <x:f>Z16/Q16</x:f>
        <x:v>1</x:v>
      </x:c>
      <x:c r="AJ16" s="33" t="n">
        <x:f>AA16/Q16</x:f>
        <x:v>1.3333333333333333</x:v>
      </x:c>
      <x:c r="AK16" s="33" t="n">
        <x:f>AB16/Q16</x:f>
        <x:v>0.6666666666666666</x:v>
      </x:c>
      <x:c r="AL16" s="41" t="n">
        <x:v>7</x:v>
      </x:c>
      <x:c r="AM16" s="33" t="n">
        <x:v>18</x:v>
      </x:c>
      <x:c r="AN16" s="33" t="n">
        <x:v>6</x:v>
      </x:c>
      <x:c r="AO16" s="33" t="n">
        <x:v>8</x:v>
      </x:c>
      <x:c r="AP16" s="33" t="n">
        <x:v>4</x:v>
      </x:c>
    </x:row>
    <x:row r="17" ht="58" customHeight="1">
      <x:c r="A17" s="16" t="str">
        <x:v>T3.3</x:v>
      </x:c>
      <x:c r="B17" s="16" t="str">
        <x:v>实现字典、地区和基准管理</x:v>
      </x:c>
      <x:c r="C17" s="16" t="str">
        <x:v>FR-28</x:v>
      </x:c>
      <x:c r="D17" s="16" t="str">
        <x:v>T2.2FS; T3.1FS</x:v>
      </x:c>
      <x:c r="E17" s="17" t="n">
        <x:f>INT((T17-'项目总表'!$B$15)/7)+1</x:f>
        <x:v>2</x:v>
      </x:c>
      <x:c r="F17" s="17" t="n">
        <x:f>INT((U17-'项目总表'!$B$15)/7)+1</x:f>
        <x:v>2</x:v>
      </x:c>
      <x:c r="G17" s="17" t="str">
        <x:f>IF(COUNT($E17:$F17)&lt;2,"",IF(AND(G$6&gt;=$E17,G$6&lt;=$F17),"■",""))</x:f>
      </x:c>
      <x:c r="H17" s="17" t="str">
        <x:f>IF(COUNT($E17:$F17)&lt;2,"",IF(AND(H$6&gt;=$E17,H$6&lt;=$F17),"■",""))</x:f>
        <x:v>■</x:v>
      </x:c>
      <x:c r="I17" s="17" t="str">
        <x:f>IF(COUNT($E17:$F17)&lt;2,"",IF(AND(I$6&gt;=$E17,I$6&lt;=$F17),"■",""))</x:f>
      </x:c>
      <x:c r="J17" s="17" t="str">
        <x:f>IF(COUNT($E17:$F17)&lt;2,"",IF(AND(J$6&gt;=$E17,J$6&lt;=$F17),"■",""))</x:f>
      </x:c>
      <x:c r="K17" s="17" t="str">
        <x:f>IF(COUNT($E17:$F17)&lt;2,"",IF(AND(K$6&gt;=$E17,K$6&lt;=$F17),"■",""))</x:f>
      </x:c>
      <x:c r="L17" s="17" t="str">
        <x:f>IF(COUNT($E17:$F17)&lt;2,"",IF(AND(L$6&gt;=$E17,L$6&lt;=$F17),"■",""))</x:f>
      </x:c>
      <x:c r="M17" s="17" t="str">
        <x:f>IF(COUNT($E17:$F17)&lt;2,"",IF(AND(M$6&gt;=$E17,M$6&lt;=$F17),"■",""))</x:f>
      </x:c>
      <x:c r="N17" s="17" t="str">
        <x:f>IF(COUNT($E17:$F17)&lt;2,"",IF(AND(N$6&gt;=$E17,N$6&lt;=$F17),"■",""))</x:f>
      </x:c>
      <x:c r="O17" s="9" t="str">
        <x:v>开发</x:v>
      </x:c>
      <x:c r="P17" s="9" t="str">
        <x:v>字典地区种子与基准版本功能</x:v>
      </x:c>
      <x:c r="Q17" s="19" t="n">
        <x:v>2</x:v>
      </x:c>
      <x:c r="R17" s="16" t="str">
        <x:v>R02</x:v>
      </x:c>
      <x:c r="S17" s="19" t="n">
        <x:f>SUM(Y17:AB17)</x:f>
        <x:v>9</x:v>
      </x:c>
      <x:c r="T17" s="12" t="n">
        <x:f>WORKDAY('项目总表'!$B$15-1,AL17)</x:f>
        <x:v>46322</x:v>
      </x:c>
      <x:c r="U17" s="12" t="n">
        <x:f>WORKDAY(T17-1,Q17)</x:f>
        <x:v>46323</x:v>
      </x:c>
      <x:c r="V17" s="9" t="str">
        <x:v>AC-01, AC-03</x:v>
      </x:c>
      <x:c r="W17" s="9" t="str">
        <x:v>字典及地区种子、基准版本维护；仿真假设成熟组件和AI辅助使开发工作量为独立手写初估的50%，仍保留人工复核，非已完成代码复用</x:v>
      </x:c>
      <x:c r="X17" s="9" t="str">
        <x:v>仿真计划，未执行</x:v>
      </x:c>
      <x:c r="Y17" s="34" t="n">
        <x:f>AM17*'项目总表'!$B$53</x:f>
        <x:v>0</x:v>
      </x:c>
      <x:c r="Z17" s="34" t="n">
        <x:f>AN17*'项目总表'!$B$53</x:f>
        <x:v>6</x:v>
      </x:c>
      <x:c r="AA17" s="34" t="n">
        <x:f>AO17*'项目总表'!$B$53</x:f>
        <x:v>3</x:v>
      </x:c>
      <x:c r="AB17" s="34" t="n">
        <x:f>AP17*'项目总表'!$B$53</x:f>
        <x:v>0</x:v>
      </x:c>
      <x:c r="AC17" s="34" t="n">
        <x:f>Y17*'资源计划'!$F$8+Z17*'资源计划'!$F$9+AA17*'资源计划'!$F$10+AB17*'资源计划'!$F$11</x:f>
        <x:v>1020</x:v>
      </x:c>
      <x:c r="AD17" s="29" t="str">
        <x:v>中</x:v>
      </x:c>
      <x:c r="AE17" s="29" t="str">
        <x:v>字典及地区种子、基准版本维护；仿真假设成熟组件和AI辅助使开发工作量为独立手写初估的50%，仍保留人工复核，非已完成代码复用</x:v>
      </x:c>
      <x:c r="AF17" s="29" t="str">
        <x:v>否</x:v>
      </x:c>
      <x:c r="AG17" s="33" t="n">
        <x:v>10</x:v>
      </x:c>
      <x:c r="AH17" s="33" t="n">
        <x:f>Y17/Q17</x:f>
        <x:v>0</x:v>
      </x:c>
      <x:c r="AI17" s="33" t="n">
        <x:f>Z17/Q17</x:f>
        <x:v>3</x:v>
      </x:c>
      <x:c r="AJ17" s="33" t="n">
        <x:f>AA17/Q17</x:f>
        <x:v>1.5</x:v>
      </x:c>
      <x:c r="AK17" s="33" t="n">
        <x:f>AB17/Q17</x:f>
        <x:v>0</x:v>
      </x:c>
      <x:c r="AL17" s="41" t="n">
        <x:v>7</x:v>
      </x:c>
      <x:c r="AM17" s="33" t="n">
        <x:v>0</x:v>
      </x:c>
      <x:c r="AN17" s="33" t="n">
        <x:v>12</x:v>
      </x:c>
      <x:c r="AO17" s="33" t="n">
        <x:v>6</x:v>
      </x:c>
      <x:c r="AP17" s="33" t="n">
        <x:v>0</x:v>
      </x:c>
    </x:row>
    <x:row r="18" ht="58" customHeight="1">
      <x:c r="A18" s="16" t="str">
        <x:v>T3.4</x:v>
      </x:c>
      <x:c r="B18" s="16" t="str">
        <x:v>实现企业资料与备案审批</x:v>
      </x:c>
      <x:c r="C18" s="16" t="str">
        <x:v>FR-02, FR-03, FR-09</x:v>
      </x:c>
      <x:c r="D18" s="16" t="str">
        <x:v>T3.2FS; T3.3FS</x:v>
      </x:c>
      <x:c r="E18" s="17" t="n">
        <x:f>INT((T18-'项目总表'!$B$15)/7)+1</x:f>
        <x:v>2</x:v>
      </x:c>
      <x:c r="F18" s="17" t="n">
        <x:f>INT((U18-'项目总表'!$B$15)/7)+1</x:f>
        <x:v>3</x:v>
      </x:c>
      <x:c r="G18" s="17" t="str">
        <x:f>IF(COUNT($E18:$F18)&lt;2,"",IF(AND(G$6&gt;=$E18,G$6&lt;=$F18),"■",""))</x:f>
      </x:c>
      <x:c r="H18" s="17" t="str">
        <x:f>IF(COUNT($E18:$F18)&lt;2,"",IF(AND(H$6&gt;=$E18,H$6&lt;=$F18),"■",""))</x:f>
        <x:v>■</x:v>
      </x:c>
      <x:c r="I18" s="17" t="str">
        <x:f>IF(COUNT($E18:$F18)&lt;2,"",IF(AND(I$6&gt;=$E18,I$6&lt;=$F18),"■",""))</x:f>
        <x:v>■</x:v>
      </x:c>
      <x:c r="J18" s="17" t="str">
        <x:f>IF(COUNT($E18:$F18)&lt;2,"",IF(AND(J$6&gt;=$E18,J$6&lt;=$F18),"■",""))</x:f>
      </x:c>
      <x:c r="K18" s="17" t="str">
        <x:f>IF(COUNT($E18:$F18)&lt;2,"",IF(AND(K$6&gt;=$E18,K$6&lt;=$F18),"■",""))</x:f>
      </x:c>
      <x:c r="L18" s="17" t="str">
        <x:f>IF(COUNT($E18:$F18)&lt;2,"",IF(AND(L$6&gt;=$E18,L$6&lt;=$F18),"■",""))</x:f>
      </x:c>
      <x:c r="M18" s="17" t="str">
        <x:f>IF(COUNT($E18:$F18)&lt;2,"",IF(AND(M$6&gt;=$E18,M$6&lt;=$F18),"■",""))</x:f>
      </x:c>
      <x:c r="N18" s="17" t="str">
        <x:f>IF(COUNT($E18:$F18)&lt;2,"",IF(AND(N$6&gt;=$E18,N$6&lt;=$F18),"■",""))</x:f>
      </x:c>
      <x:c r="O18" s="9" t="str">
        <x:v>开发</x:v>
      </x:c>
      <x:c r="P18" s="9" t="str">
        <x:v>资料草稿、变更备案与版本查询</x:v>
      </x:c>
      <x:c r="Q18" s="19" t="n">
        <x:v>3</x:v>
      </x:c>
      <x:c r="R18" s="16" t="str">
        <x:v>R02</x:v>
      </x:c>
      <x:c r="S18" s="19" t="n">
        <x:f>SUM(Y18:AB18)</x:f>
        <x:v>26</x:v>
      </x:c>
      <x:c r="T18" s="12" t="n">
        <x:f>WORKDAY('项目总表'!$B$15-1,AL18)</x:f>
        <x:v>46325</x:v>
      </x:c>
      <x:c r="U18" s="12" t="n">
        <x:f>WORKDAY(T18-1,Q18)</x:f>
        <x:v>46329</x:v>
      </x:c>
      <x:c r="V18" s="9" t="str">
        <x:v>AC-01, AC-06</x:v>
      </x:c>
      <x:c r="W18" s="9" t="str">
        <x:v>资料备案状态链、变更版本和审批界面；仿真假设成熟组件和AI辅助使开发工作量为独立手写初估的50%，仍保留人工复核，非已完成代码复用</x:v>
      </x:c>
      <x:c r="X18" s="9" t="str">
        <x:v>仿真计划，未执行</x:v>
      </x:c>
      <x:c r="Y18" s="34" t="n">
        <x:f>AM18*'项目总表'!$B$53</x:f>
        <x:v>6</x:v>
      </x:c>
      <x:c r="Z18" s="34" t="n">
        <x:f>AN18*'项目总表'!$B$53</x:f>
        <x:v>9</x:v>
      </x:c>
      <x:c r="AA18" s="34" t="n">
        <x:f>AO18*'项目总表'!$B$53</x:f>
        <x:v>9</x:v>
      </x:c>
      <x:c r="AB18" s="34" t="n">
        <x:f>AP18*'项目总表'!$B$53</x:f>
        <x:v>2</x:v>
      </x:c>
      <x:c r="AC18" s="34" t="n">
        <x:f>Y18*'资源计划'!$F$8+Z18*'资源计划'!$F$9+AA18*'资源计划'!$F$10+AB18*'资源计划'!$F$11</x:f>
        <x:v>2760</x:v>
      </x:c>
      <x:c r="AD18" s="29" t="str">
        <x:v>高</x:v>
      </x:c>
      <x:c r="AE18" s="29" t="str">
        <x:v>资料备案状态链、变更版本和审批界面；仿真假设成熟组件和AI辅助使开发工作量为独立手写初估的50%，仍保留人工复核，非已完成代码复用</x:v>
      </x:c>
      <x:c r="AF18" s="29" t="str">
        <x:v>否</x:v>
      </x:c>
      <x:c r="AG18" s="33" t="n">
        <x:v>10</x:v>
      </x:c>
      <x:c r="AH18" s="33" t="n">
        <x:f>Y18/Q18</x:f>
        <x:v>2</x:v>
      </x:c>
      <x:c r="AI18" s="33" t="n">
        <x:f>Z18/Q18</x:f>
        <x:v>3</x:v>
      </x:c>
      <x:c r="AJ18" s="33" t="n">
        <x:f>AA18/Q18</x:f>
        <x:v>3</x:v>
      </x:c>
      <x:c r="AK18" s="33" t="n">
        <x:f>AB18/Q18</x:f>
        <x:v>0.6666666666666666</x:v>
      </x:c>
      <x:c r="AL18" s="41" t="n">
        <x:v>10</x:v>
      </x:c>
      <x:c r="AM18" s="33" t="n">
        <x:v>12</x:v>
      </x:c>
      <x:c r="AN18" s="33" t="n">
        <x:v>18</x:v>
      </x:c>
      <x:c r="AO18" s="33" t="n">
        <x:v>18</x:v>
      </x:c>
      <x:c r="AP18" s="33" t="n">
        <x:v>4</x:v>
      </x:c>
    </x:row>
    <x:row r="19" ht="58" customHeight="1">
      <x:c r="A19" s="16" t="str">
        <x:v>T3.5</x:v>
      </x:c>
      <x:c r="B19" s="16" t="str">
        <x:v>实现月报草稿、校验与提交</x:v>
      </x:c>
      <x:c r="C19" s="16" t="str">
        <x:v>FR-04, FR-05, NFR-09, IF-02</x:v>
      </x:c>
      <x:c r="D19" s="16" t="str">
        <x:v>T3.4SS+1d; T3.7FS</x:v>
      </x:c>
      <x:c r="E19" s="17" t="n">
        <x:f>INT((T19-'项目总表'!$B$15)/7)+1</x:f>
        <x:v>3</x:v>
      </x:c>
      <x:c r="F19" s="17" t="n">
        <x:f>INT((U19-'项目总表'!$B$15)/7)+1</x:f>
        <x:v>3</x:v>
      </x:c>
      <x:c r="G19" s="17" t="str">
        <x:f>IF(COUNT($E19:$F19)&lt;2,"",IF(AND(G$6&gt;=$E19,G$6&lt;=$F19),"■",""))</x:f>
      </x:c>
      <x:c r="H19" s="17" t="str">
        <x:f>IF(COUNT($E19:$F19)&lt;2,"",IF(AND(H$6&gt;=$E19,H$6&lt;=$F19),"■",""))</x:f>
      </x:c>
      <x:c r="I19" s="17" t="str">
        <x:f>IF(COUNT($E19:$F19)&lt;2,"",IF(AND(I$6&gt;=$E19,I$6&lt;=$F19),"■",""))</x:f>
        <x:v>■</x:v>
      </x:c>
      <x:c r="J19" s="17" t="str">
        <x:f>IF(COUNT($E19:$F19)&lt;2,"",IF(AND(J$6&gt;=$E19,J$6&lt;=$F19),"■",""))</x:f>
      </x:c>
      <x:c r="K19" s="17" t="str">
        <x:f>IF(COUNT($E19:$F19)&lt;2,"",IF(AND(K$6&gt;=$E19,K$6&lt;=$F19),"■",""))</x:f>
      </x:c>
      <x:c r="L19" s="17" t="str">
        <x:f>IF(COUNT($E19:$F19)&lt;2,"",IF(AND(L$6&gt;=$E19,L$6&lt;=$F19),"■",""))</x:f>
      </x:c>
      <x:c r="M19" s="17" t="str">
        <x:f>IF(COUNT($E19:$F19)&lt;2,"",IF(AND(M$6&gt;=$E19,M$6&lt;=$F19),"■",""))</x:f>
      </x:c>
      <x:c r="N19" s="17" t="str">
        <x:f>IF(COUNT($E19:$F19)&lt;2,"",IF(AND(N$6&gt;=$E19,N$6&lt;=$F19),"■",""))</x:f>
      </x:c>
      <x:c r="O19" s="9" t="str">
        <x:v>开发</x:v>
      </x:c>
      <x:c r="P19" s="9" t="str">
        <x:v>月报、幂等提交与冻结快照</x:v>
      </x:c>
      <x:c r="Q19" s="19" t="n">
        <x:v>3</x:v>
      </x:c>
      <x:c r="R19" s="16" t="str">
        <x:v>R02</x:v>
      </x:c>
      <x:c r="S19" s="19" t="n">
        <x:f>SUM(Y19:AB19)</x:f>
        <x:v>27</x:v>
      </x:c>
      <x:c r="T19" s="12" t="n">
        <x:f>WORKDAY('项目总表'!$B$15-1,AL19)</x:f>
        <x:v>46329</x:v>
      </x:c>
      <x:c r="U19" s="12" t="n">
        <x:f>WORKDAY(T19-1,Q19)</x:f>
        <x:v>46331</x:v>
      </x:c>
      <x:c r="V19" s="9" t="str">
        <x:v>AC-02</x:v>
      </x:c>
      <x:c r="W19" s="9" t="str">
        <x:v>月报校验、幂等提交、版本与冻结快照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19" s="9" t="str">
        <x:v>仿真计划，未执行</x:v>
      </x:c>
      <x:c r="Y19" s="34" t="n">
        <x:f>AM19*'项目总表'!$B$53</x:f>
        <x:v>7</x:v>
      </x:c>
      <x:c r="Z19" s="34" t="n">
        <x:f>AN19*'项目总表'!$B$53</x:f>
        <x:v>9</x:v>
      </x:c>
      <x:c r="AA19" s="34" t="n">
        <x:f>AO19*'项目总表'!$B$53</x:f>
        <x:v>9</x:v>
      </x:c>
      <x:c r="AB19" s="34" t="n">
        <x:f>AP19*'项目总表'!$B$53</x:f>
        <x:v>2</x:v>
      </x:c>
      <x:c r="AC19" s="34" t="n">
        <x:f>Y19*'资源计划'!$F$8+Z19*'资源计划'!$F$9+AA19*'资源计划'!$F$10+AB19*'资源计划'!$F$11</x:f>
        <x:v>2860</x:v>
      </x:c>
      <x:c r="AD19" s="29" t="str">
        <x:v>高</x:v>
      </x:c>
      <x:c r="AE19" s="29" t="str">
        <x:v>月报校验、幂等提交、版本与冻结快照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19" s="29" t="str">
        <x:v>否</x:v>
      </x:c>
      <x:c r="AG19" s="33" t="n">
        <x:v>9</x:v>
      </x:c>
      <x:c r="AH19" s="33" t="n">
        <x:f>Y19/Q19</x:f>
        <x:v>2.3333333333333335</x:v>
      </x:c>
      <x:c r="AI19" s="33" t="n">
        <x:f>Z19/Q19</x:f>
        <x:v>3</x:v>
      </x:c>
      <x:c r="AJ19" s="33" t="n">
        <x:f>AA19/Q19</x:f>
        <x:v>3</x:v>
      </x:c>
      <x:c r="AK19" s="33" t="n">
        <x:f>AB19/Q19</x:f>
        <x:v>0.6666666666666666</x:v>
      </x:c>
      <x:c r="AL19" s="41" t="n">
        <x:v>12</x:v>
      </x:c>
      <x:c r="AM19" s="33" t="n">
        <x:v>14</x:v>
      </x:c>
      <x:c r="AN19" s="33" t="n">
        <x:v>18</x:v>
      </x:c>
      <x:c r="AO19" s="33" t="n">
        <x:v>18</x:v>
      </x:c>
      <x:c r="AP19" s="33" t="n">
        <x:v>4</x:v>
      </x:c>
    </x:row>
    <x:row r="20" ht="58" customHeight="1">
      <x:c r="A20" s="16" t="str">
        <x:v>T3.6</x:v>
      </x:c>
      <x:c r="B20" s="16" t="str">
        <x:v>实现市省审核与退回重提</x:v>
      </x:c>
      <x:c r="C20" s="16" t="str">
        <x:v>FR-07, FR-08, FR-10, FR-11</x:v>
      </x:c>
      <x:c r="D20" s="16" t="str">
        <x:v>T3.5SS+1d</x:v>
      </x:c>
      <x:c r="E20" s="17" t="n">
        <x:f>INT((T20-'项目总表'!$B$15)/7)+1</x:f>
        <x:v>3</x:v>
      </x:c>
      <x:c r="F20" s="17" t="n">
        <x:f>INT((U20-'项目总表'!$B$15)/7)+1</x:f>
        <x:v>3</x:v>
      </x:c>
      <x:c r="G20" s="17" t="str">
        <x:f>IF(COUNT($E20:$F20)&lt;2,"",IF(AND(G$6&gt;=$E20,G$6&lt;=$F20),"■",""))</x:f>
      </x:c>
      <x:c r="H20" s="17" t="str">
        <x:f>IF(COUNT($E20:$F20)&lt;2,"",IF(AND(H$6&gt;=$E20,H$6&lt;=$F20),"■",""))</x:f>
      </x:c>
      <x:c r="I20" s="17" t="str">
        <x:f>IF(COUNT($E20:$F20)&lt;2,"",IF(AND(I$6&gt;=$E20,I$6&lt;=$F20),"■",""))</x:f>
        <x:v>■</x:v>
      </x:c>
      <x:c r="J20" s="17" t="str">
        <x:f>IF(COUNT($E20:$F20)&lt;2,"",IF(AND(J$6&gt;=$E20,J$6&lt;=$F20),"■",""))</x:f>
      </x:c>
      <x:c r="K20" s="17" t="str">
        <x:f>IF(COUNT($E20:$F20)&lt;2,"",IF(AND(K$6&gt;=$E20,K$6&lt;=$F20),"■",""))</x:f>
      </x:c>
      <x:c r="L20" s="17" t="str">
        <x:f>IF(COUNT($E20:$F20)&lt;2,"",IF(AND(L$6&gt;=$E20,L$6&lt;=$F20),"■",""))</x:f>
      </x:c>
      <x:c r="M20" s="17" t="str">
        <x:f>IF(COUNT($E20:$F20)&lt;2,"",IF(AND(M$6&gt;=$E20,M$6&lt;=$F20),"■",""))</x:f>
      </x:c>
      <x:c r="N20" s="17" t="str">
        <x:f>IF(COUNT($E20:$F20)&lt;2,"",IF(AND(N$6&gt;=$E20,N$6&lt;=$F20),"■",""))</x:f>
      </x:c>
      <x:c r="O20" s="9" t="str">
        <x:v>开发</x:v>
      </x:c>
      <x:c r="P20" s="9" t="str">
        <x:v>审核状态链、退回重提与审计</x:v>
      </x:c>
      <x:c r="Q20" s="19" t="n">
        <x:v>2</x:v>
      </x:c>
      <x:c r="R20" s="16" t="str">
        <x:v>R02</x:v>
      </x:c>
      <x:c r="S20" s="19" t="n">
        <x:f>SUM(Y20:AB20)</x:f>
        <x:v>19</x:v>
      </x:c>
      <x:c r="T20" s="12" t="n">
        <x:f>WORKDAY('项目总表'!$B$15-1,AL20)</x:f>
        <x:v>46330</x:v>
      </x:c>
      <x:c r="U20" s="12" t="n">
        <x:f>WORKDAY(T20-1,Q20)</x:f>
        <x:v>46331</x:v>
      </x:c>
      <x:c r="V20" s="9" t="str">
        <x:v>AC-03, AC-05</x:v>
      </x:c>
      <x:c r="W20" s="9" t="str">
        <x:v>市省审核、退回与补报状态转换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20" s="9" t="str">
        <x:v>仿真计划，未执行</x:v>
      </x:c>
      <x:c r="Y20" s="34" t="n">
        <x:f>AM20*'项目总表'!$B$53</x:f>
        <x:v>5</x:v>
      </x:c>
      <x:c r="Z20" s="34" t="n">
        <x:f>AN20*'项目总表'!$B$53</x:f>
        <x:v>6</x:v>
      </x:c>
      <x:c r="AA20" s="34" t="n">
        <x:f>AO20*'项目总表'!$B$53</x:f>
        <x:v>6</x:v>
      </x:c>
      <x:c r="AB20" s="34" t="n">
        <x:f>AP20*'项目总表'!$B$53</x:f>
        <x:v>2</x:v>
      </x:c>
      <x:c r="AC20" s="34" t="n">
        <x:f>Y20*'资源计划'!$F$8+Z20*'资源计划'!$F$9+AA20*'资源计划'!$F$10+AB20*'资源计划'!$F$11</x:f>
        <x:v>2000</x:v>
      </x:c>
      <x:c r="AD20" s="29" t="str">
        <x:v>高</x:v>
      </x:c>
      <x:c r="AE20" s="29" t="str">
        <x:v>市省审核、退回与补报状态转换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20" s="29" t="str">
        <x:v>否</x:v>
      </x:c>
      <x:c r="AG20" s="33" t="n">
        <x:v>9</x:v>
      </x:c>
      <x:c r="AH20" s="33" t="n">
        <x:f>Y20/Q20</x:f>
        <x:v>2.5</x:v>
      </x:c>
      <x:c r="AI20" s="33" t="n">
        <x:f>Z20/Q20</x:f>
        <x:v>3</x:v>
      </x:c>
      <x:c r="AJ20" s="33" t="n">
        <x:f>AA20/Q20</x:f>
        <x:v>3</x:v>
      </x:c>
      <x:c r="AK20" s="33" t="n">
        <x:f>AB20/Q20</x:f>
        <x:v>1</x:v>
      </x:c>
      <x:c r="AL20" s="41" t="n">
        <x:v>13</x:v>
      </x:c>
      <x:c r="AM20" s="33" t="n">
        <x:v>10</x:v>
      </x:c>
      <x:c r="AN20" s="33" t="n">
        <x:v>12</x:v>
      </x:c>
      <x:c r="AO20" s="33" t="n">
        <x:v>12</x:v>
      </x:c>
      <x:c r="AP20" s="33" t="n">
        <x:v>4</x:v>
      </x:c>
    </x:row>
    <x:row r="21" ht="58" customHeight="1">
      <x:c r="A21" s="16" t="str">
        <x:v>T3.7</x:v>
      </x:c>
      <x:c r="B21" s="16" t="str">
        <x:v>实现调查期与补报授权</x:v>
      </x:c>
      <x:c r="C21" s="16" t="str">
        <x:v>FR-21, FR-11</x:v>
      </x:c>
      <x:c r="D21" s="16" t="str">
        <x:v>T3.2FS; T3.3FS</x:v>
      </x:c>
      <x:c r="E21" s="17" t="n">
        <x:f>INT((T21-'项目总表'!$B$15)/7)+1</x:f>
        <x:v>2</x:v>
      </x:c>
      <x:c r="F21" s="17" t="n">
        <x:f>INT((U21-'项目总表'!$B$15)/7)+1</x:f>
        <x:v>3</x:v>
      </x:c>
      <x:c r="G21" s="17" t="str">
        <x:f>IF(COUNT($E21:$F21)&lt;2,"",IF(AND(G$6&gt;=$E21,G$6&lt;=$F21),"■",""))</x:f>
      </x:c>
      <x:c r="H21" s="17" t="str">
        <x:f>IF(COUNT($E21:$F21)&lt;2,"",IF(AND(H$6&gt;=$E21,H$6&lt;=$F21),"■",""))</x:f>
        <x:v>■</x:v>
      </x:c>
      <x:c r="I21" s="17" t="str">
        <x:f>IF(COUNT($E21:$F21)&lt;2,"",IF(AND(I$6&gt;=$E21,I$6&lt;=$F21),"■",""))</x:f>
        <x:v>■</x:v>
      </x:c>
      <x:c r="J21" s="17" t="str">
        <x:f>IF(COUNT($E21:$F21)&lt;2,"",IF(AND(J$6&gt;=$E21,J$6&lt;=$F21),"■",""))</x:f>
      </x:c>
      <x:c r="K21" s="17" t="str">
        <x:f>IF(COUNT($E21:$F21)&lt;2,"",IF(AND(K$6&gt;=$E21,K$6&lt;=$F21),"■",""))</x:f>
      </x:c>
      <x:c r="L21" s="17" t="str">
        <x:f>IF(COUNT($E21:$F21)&lt;2,"",IF(AND(L$6&gt;=$E21,L$6&lt;=$F21),"■",""))</x:f>
      </x:c>
      <x:c r="M21" s="17" t="str">
        <x:f>IF(COUNT($E21:$F21)&lt;2,"",IF(AND(M$6&gt;=$E21,M$6&lt;=$F21),"■",""))</x:f>
      </x:c>
      <x:c r="N21" s="17" t="str">
        <x:f>IF(COUNT($E21:$F21)&lt;2,"",IF(AND(N$6&gt;=$E21,N$6&lt;=$F21),"■",""))</x:f>
      </x:c>
      <x:c r="O21" s="9" t="str">
        <x:v>开发</x:v>
      </x:c>
      <x:c r="P21" s="9" t="str">
        <x:v>调查期配置与补报窗口控制</x:v>
      </x:c>
      <x:c r="Q21" s="19" t="n">
        <x:v>2</x:v>
      </x:c>
      <x:c r="R21" s="16" t="str">
        <x:v>R01</x:v>
      </x:c>
      <x:c r="S21" s="19" t="n">
        <x:f>SUM(Y21:AB21)</x:f>
        <x:v>14</x:v>
      </x:c>
      <x:c r="T21" s="12" t="n">
        <x:f>WORKDAY('项目总表'!$B$15-1,AL21)</x:f>
        <x:v>46325</x:v>
      </x:c>
      <x:c r="U21" s="12" t="n">
        <x:f>WORKDAY(T21-1,Q21)</x:f>
        <x:v>46328</x:v>
      </x:c>
      <x:c r="V21" s="9" t="str">
        <x:v>AC-02, AC-03</x:v>
      </x:c>
      <x:c r="W21" s="9" t="str">
        <x:v>调查期、补报窗口及权限，复用状态基础；仿真假设成熟组件和AI辅助使开发工作量为独立手写初估的50%，仍保留人工复核，非已完成代码复用</x:v>
      </x:c>
      <x:c r="X21" s="9" t="str">
        <x:v>仿真计划，未执行</x:v>
      </x:c>
      <x:c r="Y21" s="34" t="n">
        <x:f>AM21*'项目总表'!$B$53</x:f>
        <x:v>5</x:v>
      </x:c>
      <x:c r="Z21" s="34" t="n">
        <x:f>AN21*'项目总表'!$B$53</x:f>
        <x:v>5</x:v>
      </x:c>
      <x:c r="AA21" s="34" t="n">
        <x:f>AO21*'项目总表'!$B$53</x:f>
        <x:v>3</x:v>
      </x:c>
      <x:c r="AB21" s="34" t="n">
        <x:f>AP21*'项目总表'!$B$53</x:f>
        <x:v>1</x:v>
      </x:c>
      <x:c r="AC21" s="34" t="n">
        <x:f>Y21*'资源计划'!$F$8+Z21*'资源计划'!$F$9+AA21*'资源计划'!$F$10+AB21*'资源计划'!$F$11</x:f>
        <x:v>1490</x:v>
      </x:c>
      <x:c r="AD21" s="29" t="str">
        <x:v>高</x:v>
      </x:c>
      <x:c r="AE21" s="29" t="str">
        <x:v>调查期、补报窗口及权限，复用状态基础；仿真假设成熟组件和AI辅助使开发工作量为独立手写初估的50%，仍保留人工复核，非已完成代码复用</x:v>
      </x:c>
      <x:c r="AF21" s="29" t="str">
        <x:v>否</x:v>
      </x:c>
      <x:c r="AG21" s="33" t="n">
        <x:v>9</x:v>
      </x:c>
      <x:c r="AH21" s="33" t="n">
        <x:f>Y21/Q21</x:f>
        <x:v>2.5</x:v>
      </x:c>
      <x:c r="AI21" s="33" t="n">
        <x:f>Z21/Q21</x:f>
        <x:v>2.5</x:v>
      </x:c>
      <x:c r="AJ21" s="33" t="n">
        <x:f>AA21/Q21</x:f>
        <x:v>1.5</x:v>
      </x:c>
      <x:c r="AK21" s="33" t="n">
        <x:f>AB21/Q21</x:f>
        <x:v>0.5</x:v>
      </x:c>
      <x:c r="AL21" s="41" t="n">
        <x:v>10</x:v>
      </x:c>
      <x:c r="AM21" s="33" t="n">
        <x:v>10</x:v>
      </x:c>
      <x:c r="AN21" s="33" t="n">
        <x:v>10</x:v>
      </x:c>
      <x:c r="AO21" s="33" t="n">
        <x:v>6</x:v>
      </x:c>
      <x:c r="AP21" s="33" t="n">
        <x:v>2</x:v>
      </x:c>
    </x:row>
    <x:row r="22" ht="58" customHeight="1">
      <x:c r="A22" s="16" t="str">
        <x:v>T3.8</x:v>
      </x:c>
      <x:c r="B22" s="16" t="str">
        <x:v>实现独立修订与撤销链</x:v>
      </x:c>
      <x:c r="C22" s="16" t="str">
        <x:v>FR-12, FR-27, NFR-09</x:v>
      </x:c>
      <x:c r="D22" s="16" t="str">
        <x:v>T3.6SS+1d; T2.2FS</x:v>
      </x:c>
      <x:c r="E22" s="17" t="n">
        <x:f>INT((T22-'项目总表'!$B$15)/7)+1</x:f>
        <x:v>3</x:v>
      </x:c>
      <x:c r="F22" s="17" t="n">
        <x:f>INT((U22-'项目总表'!$B$15)/7)+1</x:f>
        <x:v>4</x:v>
      </x:c>
      <x:c r="G22" s="17" t="str">
        <x:f>IF(COUNT($E22:$F22)&lt;2,"",IF(AND(G$6&gt;=$E22,G$6&lt;=$F22),"■",""))</x:f>
      </x:c>
      <x:c r="H22" s="17" t="str">
        <x:f>IF(COUNT($E22:$F22)&lt;2,"",IF(AND(H$6&gt;=$E22,H$6&lt;=$F22),"■",""))</x:f>
      </x:c>
      <x:c r="I22" s="17" t="str">
        <x:f>IF(COUNT($E22:$F22)&lt;2,"",IF(AND(I$6&gt;=$E22,I$6&lt;=$F22),"■",""))</x:f>
        <x:v>■</x:v>
      </x:c>
      <x:c r="J22" s="17" t="str">
        <x:f>IF(COUNT($E22:$F22)&lt;2,"",IF(AND(J$6&gt;=$E22,J$6&lt;=$F22),"■",""))</x:f>
        <x:v>■</x:v>
      </x:c>
      <x:c r="K22" s="17" t="str">
        <x:f>IF(COUNT($E22:$F22)&lt;2,"",IF(AND(K$6&gt;=$E22,K$6&lt;=$F22),"■",""))</x:f>
      </x:c>
      <x:c r="L22" s="17" t="str">
        <x:f>IF(COUNT($E22:$F22)&lt;2,"",IF(AND(L$6&gt;=$E22,L$6&lt;=$F22),"■",""))</x:f>
      </x:c>
      <x:c r="M22" s="17" t="str">
        <x:f>IF(COUNT($E22:$F22)&lt;2,"",IF(AND(M$6&gt;=$E22,M$6&lt;=$F22),"■",""))</x:f>
      </x:c>
      <x:c r="N22" s="17" t="str">
        <x:f>IF(COUNT($E22:$F22)&lt;2,"",IF(AND(N$6&gt;=$E22,N$6&lt;=$F22),"■",""))</x:f>
      </x:c>
      <x:c r="O22" s="9" t="str">
        <x:v>开发</x:v>
      </x:c>
      <x:c r="P22" s="9" t="str">
        <x:v>修订另存、生效、撤销与日志</x:v>
      </x:c>
      <x:c r="Q22" s="19" t="n">
        <x:v>3</x:v>
      </x:c>
      <x:c r="R22" s="16" t="str">
        <x:v>R01</x:v>
      </x:c>
      <x:c r="S22" s="19" t="n">
        <x:f>SUM(Y22:AB22)</x:f>
        <x:v>27</x:v>
      </x:c>
      <x:c r="T22" s="12" t="n">
        <x:f>WORKDAY('项目总表'!$B$15-1,AL22)</x:f>
        <x:v>46332</x:v>
      </x:c>
      <x:c r="U22" s="12" t="n">
        <x:f>WORKDAY(T22-1,Q22)</x:f>
        <x:v>46336</x:v>
      </x:c>
      <x:c r="V22" s="9" t="str">
        <x:v>AC-04, AC-09</x:v>
      </x:c>
      <x:c r="W22" s="9" t="str">
        <x:v>独立修订、生效与撤销事务、审计一致性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22" s="9" t="str">
        <x:v>仿真计划，未执行</x:v>
      </x:c>
      <x:c r="Y22" s="34" t="n">
        <x:f>AM22*'项目总表'!$B$53</x:f>
        <x:v>9</x:v>
      </x:c>
      <x:c r="Z22" s="34" t="n">
        <x:f>AN22*'项目总表'!$B$53</x:f>
        <x:v>9</x:v>
      </x:c>
      <x:c r="AA22" s="34" t="n">
        <x:f>AO22*'项目总表'!$B$53</x:f>
        <x:v>6</x:v>
      </x:c>
      <x:c r="AB22" s="34" t="n">
        <x:f>AP22*'项目总表'!$B$53</x:f>
        <x:v>3</x:v>
      </x:c>
      <x:c r="AC22" s="34" t="n">
        <x:f>Y22*'资源计划'!$F$8+Z22*'资源计划'!$F$9+AA22*'资源计划'!$F$10+AB22*'资源计划'!$F$11</x:f>
        <x:v>2850</x:v>
      </x:c>
      <x:c r="AD22" s="29" t="str">
        <x:v>高</x:v>
      </x:c>
      <x:c r="AE22" s="29" t="str">
        <x:v>独立修订、生效与撤销事务、审计一致性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22" s="29" t="str">
        <x:v>否</x:v>
      </x:c>
      <x:c r="AG22" s="33" t="n">
        <x:v>8</x:v>
      </x:c>
      <x:c r="AH22" s="33" t="n">
        <x:f>Y22/Q22</x:f>
        <x:v>3</x:v>
      </x:c>
      <x:c r="AI22" s="33" t="n">
        <x:f>Z22/Q22</x:f>
        <x:v>3</x:v>
      </x:c>
      <x:c r="AJ22" s="33" t="n">
        <x:f>AA22/Q22</x:f>
        <x:v>2</x:v>
      </x:c>
      <x:c r="AK22" s="33" t="n">
        <x:f>AB22/Q22</x:f>
        <x:v>1</x:v>
      </x:c>
      <x:c r="AL22" s="41" t="n">
        <x:v>15</x:v>
      </x:c>
      <x:c r="AM22" s="33" t="n">
        <x:v>18</x:v>
      </x:c>
      <x:c r="AN22" s="33" t="n">
        <x:v>18</x:v>
      </x:c>
      <x:c r="AO22" s="33" t="n">
        <x:v>12</x:v>
      </x:c>
      <x:c r="AP22" s="33" t="n">
        <x:v>6</x:v>
      </x:c>
    </x:row>
    <x:row r="23" ht="58" customHeight="1">
      <x:c r="A23" s="16" t="str">
        <x:v>T3.9</x:v>
      </x:c>
      <x:c r="B23" s="16" t="str">
        <x:v>实现历史浏览和快照查询</x:v>
      </x:c>
      <x:c r="C23" s="16" t="str">
        <x:v>FR-06, FR-09</x:v>
      </x:c>
      <x:c r="D23" s="16" t="str">
        <x:v>T3.4FS; T3.5SS+1d</x:v>
      </x:c>
      <x:c r="E23" s="17" t="n">
        <x:f>INT((T23-'项目总表'!$B$15)/7)+1</x:f>
        <x:v>3</x:v>
      </x:c>
      <x:c r="F23" s="17" t="n">
        <x:f>INT((U23-'项目总表'!$B$15)/7)+1</x:f>
        <x:v>4</x:v>
      </x:c>
      <x:c r="G23" s="17" t="str">
        <x:f>IF(COUNT($E23:$F23)&lt;2,"",IF(AND(G$6&gt;=$E23,G$6&lt;=$F23),"■",""))</x:f>
      </x:c>
      <x:c r="H23" s="17" t="str">
        <x:f>IF(COUNT($E23:$F23)&lt;2,"",IF(AND(H$6&gt;=$E23,H$6&lt;=$F23),"■",""))</x:f>
      </x:c>
      <x:c r="I23" s="17" t="str">
        <x:f>IF(COUNT($E23:$F23)&lt;2,"",IF(AND(I$6&gt;=$E23,I$6&lt;=$F23),"■",""))</x:f>
        <x:v>■</x:v>
      </x:c>
      <x:c r="J23" s="17" t="str">
        <x:f>IF(COUNT($E23:$F23)&lt;2,"",IF(AND(J$6&gt;=$E23,J$6&lt;=$F23),"■",""))</x:f>
        <x:v>■</x:v>
      </x:c>
      <x:c r="K23" s="17" t="str">
        <x:f>IF(COUNT($E23:$F23)&lt;2,"",IF(AND(K$6&gt;=$E23,K$6&lt;=$F23),"■",""))</x:f>
      </x:c>
      <x:c r="L23" s="17" t="str">
        <x:f>IF(COUNT($E23:$F23)&lt;2,"",IF(AND(L$6&gt;=$E23,L$6&lt;=$F23),"■",""))</x:f>
      </x:c>
      <x:c r="M23" s="17" t="str">
        <x:f>IF(COUNT($E23:$F23)&lt;2,"",IF(AND(M$6&gt;=$E23,M$6&lt;=$F23),"■",""))</x:f>
      </x:c>
      <x:c r="N23" s="17" t="str">
        <x:f>IF(COUNT($E23:$F23)&lt;2,"",IF(AND(N$6&gt;=$E23,N$6&lt;=$F23),"■",""))</x:f>
      </x:c>
      <x:c r="O23" s="9" t="str">
        <x:v>开发</x:v>
      </x:c>
      <x:c r="P23" s="9" t="str">
        <x:v>历史版本与正式提交标记查询</x:v>
      </x:c>
      <x:c r="Q23" s="19" t="n">
        <x:v>2</x:v>
      </x:c>
      <x:c r="R23" s="16" t="str">
        <x:v>R03</x:v>
      </x:c>
      <x:c r="S23" s="19" t="n">
        <x:f>SUM(Y23:AB23)</x:f>
        <x:v>14</x:v>
      </x:c>
      <x:c r="T23" s="12" t="n">
        <x:f>WORKDAY('项目总表'!$B$15-1,AL23)</x:f>
        <x:v>46332</x:v>
      </x:c>
      <x:c r="U23" s="12" t="n">
        <x:f>WORKDAY(T23-1,Q23)</x:f>
        <x:v>46335</x:v>
      </x:c>
      <x:c r="V23" s="9" t="str">
        <x:v>AC-01, AC-05, AC-06</x:v>
      </x:c>
      <x:c r="W23" s="9" t="str">
        <x:v>历史查询和快照显示复用资料模块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23" s="9" t="str">
        <x:v>仿真计划，未执行</x:v>
      </x:c>
      <x:c r="Y23" s="34" t="n">
        <x:f>AM23*'项目总表'!$B$53</x:f>
        <x:v>2</x:v>
      </x:c>
      <x:c r="Z23" s="34" t="n">
        <x:f>AN23*'项目总表'!$B$53</x:f>
        <x:v>4</x:v>
      </x:c>
      <x:c r="AA23" s="34" t="n">
        <x:f>AO23*'项目总表'!$B$53</x:f>
        <x:v>6</x:v>
      </x:c>
      <x:c r="AB23" s="34" t="n">
        <x:f>AP23*'项目总表'!$B$53</x:f>
        <x:v>2</x:v>
      </x:c>
      <x:c r="AC23" s="34" t="n">
        <x:f>Y23*'资源计划'!$F$8+Z23*'资源计划'!$F$9+AA23*'资源计划'!$F$10+AB23*'资源计划'!$F$11</x:f>
        <x:v>1460</x:v>
      </x:c>
      <x:c r="AD23" s="29" t="str">
        <x:v>中</x:v>
      </x:c>
      <x:c r="AE23" s="29" t="str">
        <x:v>历史查询和快照显示复用资料模块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23" s="29" t="str">
        <x:v>否</x:v>
      </x:c>
      <x:c r="AG23" s="33" t="n">
        <x:v>10</x:v>
      </x:c>
      <x:c r="AH23" s="33" t="n">
        <x:f>Y23/Q23</x:f>
        <x:v>1</x:v>
      </x:c>
      <x:c r="AI23" s="33" t="n">
        <x:f>Z23/Q23</x:f>
        <x:v>2</x:v>
      </x:c>
      <x:c r="AJ23" s="33" t="n">
        <x:f>AA23/Q23</x:f>
        <x:v>3</x:v>
      </x:c>
      <x:c r="AK23" s="33" t="n">
        <x:f>AB23/Q23</x:f>
        <x:v>1</x:v>
      </x:c>
      <x:c r="AL23" s="41" t="n">
        <x:v>15</x:v>
      </x:c>
      <x:c r="AM23" s="33" t="n">
        <x:v>4</x:v>
      </x:c>
      <x:c r="AN23" s="33" t="n">
        <x:v>8</x:v>
      </x:c>
      <x:c r="AO23" s="33" t="n">
        <x:v>12</x:v>
      </x:c>
      <x:c r="AP23" s="33" t="n">
        <x:v>4</x:v>
      </x:c>
    </x:row>
    <x:row r="24" ht="58" customHeight="1">
      <x:c r="A24" s="16" t="str">
        <x:v>T3.10</x:v>
      </x:c>
      <x:c r="B24" s="16" t="str">
        <x:v>实现汇总指标与统计口径</x:v>
      </x:c>
      <x:c r="C24" s="16" t="str">
        <x:v>FR-13</x:v>
      </x:c>
      <x:c r="D24" s="16" t="str">
        <x:v>T3.8SS+1d</x:v>
      </x:c>
      <x:c r="E24" s="17" t="n">
        <x:f>INT((T24-'项目总表'!$B$15)/7)+1</x:f>
        <x:v>4</x:v>
      </x:c>
      <x:c r="F24" s="17" t="n">
        <x:f>INT((U24-'项目总表'!$B$15)/7)+1</x:f>
        <x:v>4</x:v>
      </x:c>
      <x:c r="G24" s="17" t="str">
        <x:f>IF(COUNT($E24:$F24)&lt;2,"",IF(AND(G$6&gt;=$E24,G$6&lt;=$F24),"■",""))</x:f>
      </x:c>
      <x:c r="H24" s="17" t="str">
        <x:f>IF(COUNT($E24:$F24)&lt;2,"",IF(AND(H$6&gt;=$E24,H$6&lt;=$F24),"■",""))</x:f>
      </x:c>
      <x:c r="I24" s="17" t="str">
        <x:f>IF(COUNT($E24:$F24)&lt;2,"",IF(AND(I$6&gt;=$E24,I$6&lt;=$F24),"■",""))</x:f>
      </x:c>
      <x:c r="J24" s="17" t="str">
        <x:f>IF(COUNT($E24:$F24)&lt;2,"",IF(AND(J$6&gt;=$E24,J$6&lt;=$F24),"■",""))</x:f>
        <x:v>■</x:v>
      </x:c>
      <x:c r="K24" s="17" t="str">
        <x:f>IF(COUNT($E24:$F24)&lt;2,"",IF(AND(K$6&gt;=$E24,K$6&lt;=$F24),"■",""))</x:f>
      </x:c>
      <x:c r="L24" s="17" t="str">
        <x:f>IF(COUNT($E24:$F24)&lt;2,"",IF(AND(L$6&gt;=$E24,L$6&lt;=$F24),"■",""))</x:f>
      </x:c>
      <x:c r="M24" s="17" t="str">
        <x:f>IF(COUNT($E24:$F24)&lt;2,"",IF(AND(M$6&gt;=$E24,M$6&lt;=$F24),"■",""))</x:f>
      </x:c>
      <x:c r="N24" s="17" t="str">
        <x:f>IF(COUNT($E24:$F24)&lt;2,"",IF(AND(N$6&gt;=$E24,N$6&lt;=$F24),"■",""))</x:f>
      </x:c>
      <x:c r="O24" s="9" t="str">
        <x:v>开发</x:v>
      </x:c>
      <x:c r="P24" s="9" t="str">
        <x:v>原始/修订口径汇总与公式复算</x:v>
      </x:c>
      <x:c r="Q24" s="19" t="n">
        <x:v>2</x:v>
      </x:c>
      <x:c r="R24" s="16" t="str">
        <x:v>R02</x:v>
      </x:c>
      <x:c r="S24" s="19" t="n">
        <x:f>SUM(Y24:AB24)</x:f>
        <x:v>16</x:v>
      </x:c>
      <x:c r="T24" s="12" t="n">
        <x:f>WORKDAY('项目总表'!$B$15-1,AL24)</x:f>
        <x:v>46336</x:v>
      </x:c>
      <x:c r="U24" s="12" t="n">
        <x:f>WORKDAY(T24-1,Q24)</x:f>
        <x:v>46337</x:v>
      </x:c>
      <x:c r="V24" s="9" t="str">
        <x:v>AC-04, AC-07</x:v>
      </x:c>
      <x:c r="W24" s="9" t="str">
        <x:v>六指标、原始/修订口径及零分母规则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24" s="9" t="str">
        <x:v>仿真计划，未执行</x:v>
      </x:c>
      <x:c r="Y24" s="34" t="n">
        <x:f>AM24*'项目总表'!$B$53</x:f>
        <x:v>4</x:v>
      </x:c>
      <x:c r="Z24" s="34" t="n">
        <x:f>AN24*'项目总表'!$B$53</x:f>
        <x:v>6</x:v>
      </x:c>
      <x:c r="AA24" s="34" t="n">
        <x:f>AO24*'项目总表'!$B$53</x:f>
        <x:v>4</x:v>
      </x:c>
      <x:c r="AB24" s="34" t="n">
        <x:f>AP24*'项目总表'!$B$53</x:f>
        <x:v>2</x:v>
      </x:c>
      <x:c r="AC24" s="34" t="n">
        <x:f>Y24*'资源计划'!$F$8+Z24*'资源计划'!$F$9+AA24*'资源计划'!$F$10+AB24*'资源计划'!$F$11</x:f>
        <x:v>1700</x:v>
      </x:c>
      <x:c r="AD24" s="29" t="str">
        <x:v>高</x:v>
      </x:c>
      <x:c r="AE24" s="29" t="str">
        <x:v>六指标、原始/修订口径及零分母规则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24" s="29" t="str">
        <x:v>否</x:v>
      </x:c>
      <x:c r="AG24" s="33" t="n">
        <x:v>8</x:v>
      </x:c>
      <x:c r="AH24" s="33" t="n">
        <x:f>Y24/Q24</x:f>
        <x:v>2</x:v>
      </x:c>
      <x:c r="AI24" s="33" t="n">
        <x:f>Z24/Q24</x:f>
        <x:v>3</x:v>
      </x:c>
      <x:c r="AJ24" s="33" t="n">
        <x:f>AA24/Q24</x:f>
        <x:v>2</x:v>
      </x:c>
      <x:c r="AK24" s="33" t="n">
        <x:f>AB24/Q24</x:f>
        <x:v>1</x:v>
      </x:c>
      <x:c r="AL24" s="41" t="n">
        <x:v>17</x:v>
      </x:c>
      <x:c r="AM24" s="33" t="n">
        <x:v>8</x:v>
      </x:c>
      <x:c r="AN24" s="33" t="n">
        <x:v>12</x:v>
      </x:c>
      <x:c r="AO24" s="33" t="n">
        <x:v>8</x:v>
      </x:c>
      <x:c r="AP24" s="33" t="n">
        <x:v>4</x:v>
      </x:c>
    </x:row>
    <x:row r="25" ht="58" customHeight="1">
      <x:c r="A25" s="16" t="str">
        <x:v>T3.11</x:v>
      </x:c>
      <x:c r="B25" s="16" t="str">
        <x:v>实现条件查询与XLSX导出</x:v>
      </x:c>
      <x:c r="C25" s="16" t="str">
        <x:v>FR-14, FR-15, IF-03</x:v>
      </x:c>
      <x:c r="D25" s="16" t="str">
        <x:v>T3.9SS+1d; T2.3FS</x:v>
      </x:c>
      <x:c r="E25" s="17" t="n">
        <x:f>INT((T25-'项目总表'!$B$15)/7)+1</x:f>
        <x:v>4</x:v>
      </x:c>
      <x:c r="F25" s="17" t="n">
        <x:f>INT((U25-'项目总表'!$B$15)/7)+1</x:f>
        <x:v>4</x:v>
      </x:c>
      <x:c r="G25" s="17" t="str">
        <x:f>IF(COUNT($E25:$F25)&lt;2,"",IF(AND(G$6&gt;=$E25,G$6&lt;=$F25),"■",""))</x:f>
      </x:c>
      <x:c r="H25" s="17" t="str">
        <x:f>IF(COUNT($E25:$F25)&lt;2,"",IF(AND(H$6&gt;=$E25,H$6&lt;=$F25),"■",""))</x:f>
      </x:c>
      <x:c r="I25" s="17" t="str">
        <x:f>IF(COUNT($E25:$F25)&lt;2,"",IF(AND(I$6&gt;=$E25,I$6&lt;=$F25),"■",""))</x:f>
      </x:c>
      <x:c r="J25" s="17" t="str">
        <x:f>IF(COUNT($E25:$F25)&lt;2,"",IF(AND(J$6&gt;=$E25,J$6&lt;=$F25),"■",""))</x:f>
        <x:v>■</x:v>
      </x:c>
      <x:c r="K25" s="17" t="str">
        <x:f>IF(COUNT($E25:$F25)&lt;2,"",IF(AND(K$6&gt;=$E25,K$6&lt;=$F25),"■",""))</x:f>
      </x:c>
      <x:c r="L25" s="17" t="str">
        <x:f>IF(COUNT($E25:$F25)&lt;2,"",IF(AND(L$6&gt;=$E25,L$6&lt;=$F25),"■",""))</x:f>
      </x:c>
      <x:c r="M25" s="17" t="str">
        <x:f>IF(COUNT($E25:$F25)&lt;2,"",IF(AND(M$6&gt;=$E25,M$6&lt;=$F25),"■",""))</x:f>
      </x:c>
      <x:c r="N25" s="17" t="str">
        <x:f>IF(COUNT($E25:$F25)&lt;2,"",IF(AND(N$6&gt;=$E25,N$6&lt;=$F25),"■",""))</x:f>
      </x:c>
      <x:c r="O25" s="9" t="str">
        <x:v>开发</x:v>
      </x:c>
      <x:c r="P25" s="9" t="str">
        <x:v>13条件查询、异步导出与鉴权下载</x:v>
      </x:c>
      <x:c r="Q25" s="19" t="n">
        <x:v>3</x:v>
      </x:c>
      <x:c r="R25" s="16" t="str">
        <x:v>R03</x:v>
      </x:c>
      <x:c r="S25" s="19" t="n">
        <x:f>SUM(Y25:AB25)</x:f>
        <x:v>21</x:v>
      </x:c>
      <x:c r="T25" s="12" t="n">
        <x:f>WORKDAY('项目总表'!$B$15-1,AL25)</x:f>
        <x:v>46335</x:v>
      </x:c>
      <x:c r="U25" s="12" t="n">
        <x:f>WORKDAY(T25-1,Q25)</x:f>
        <x:v>46337</x:v>
      </x:c>
      <x:c r="V25" s="9" t="str">
        <x:v>AC-06, AC-09</x:v>
      </x:c>
      <x:c r="W25" s="9" t="str">
        <x:v>13条件查询、异步导出与安全鉴权；按模块专长重新分工，测试部署成员兼工具及自动化开发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25" s="9" t="str">
        <x:v>仿真计划，未执行</x:v>
      </x:c>
      <x:c r="Y25" s="34" t="n">
        <x:f>AM25*'项目总表'!$B$53</x:f>
        <x:v>0</x:v>
      </x:c>
      <x:c r="Z25" s="34" t="n">
        <x:f>AN25*'项目总表'!$B$53</x:f>
        <x:v>6</x:v>
      </x:c>
      <x:c r="AA25" s="34" t="n">
        <x:f>AO25*'项目总表'!$B$53</x:f>
        <x:v>9</x:v>
      </x:c>
      <x:c r="AB25" s="34" t="n">
        <x:f>AP25*'项目总表'!$B$53</x:f>
        <x:v>6</x:v>
      </x:c>
      <x:c r="AC25" s="34" t="n">
        <x:f>Y25*'资源计划'!$F$8+Z25*'资源计划'!$F$9+AA25*'资源计划'!$F$10+AB25*'资源计划'!$F$11</x:f>
        <x:v>2160</x:v>
      </x:c>
      <x:c r="AD25" s="29" t="str">
        <x:v>高</x:v>
      </x:c>
      <x:c r="AE25" s="29" t="str">
        <x:v>13条件查询、异步导出与安全鉴权；按模块专长重新分工，测试部署成员兼工具及自动化开发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25" s="29" t="str">
        <x:v>否</x:v>
      </x:c>
      <x:c r="AG25" s="33" t="n">
        <x:v>10</x:v>
      </x:c>
      <x:c r="AH25" s="33" t="n">
        <x:f>Y25/Q25</x:f>
        <x:v>0</x:v>
      </x:c>
      <x:c r="AI25" s="33" t="n">
        <x:f>Z25/Q25</x:f>
        <x:v>2</x:v>
      </x:c>
      <x:c r="AJ25" s="33" t="n">
        <x:f>AA25/Q25</x:f>
        <x:v>3</x:v>
      </x:c>
      <x:c r="AK25" s="33" t="n">
        <x:f>AB25/Q25</x:f>
        <x:v>2</x:v>
      </x:c>
      <x:c r="AL25" s="41" t="n">
        <x:v>16</x:v>
      </x:c>
      <x:c r="AM25" s="33" t="n">
        <x:v>0</x:v>
      </x:c>
      <x:c r="AN25" s="33" t="n">
        <x:v>12</x:v>
      </x:c>
      <x:c r="AO25" s="33" t="n">
        <x:v>18</x:v>
      </x:c>
      <x:c r="AP25" s="33" t="n">
        <x:v>12</x:v>
      </x:c>
    </x:row>
    <x:row r="26" ht="58" customHeight="1">
      <x:c r="A26" s="16" t="str">
        <x:v>T3.12</x:v>
      </x:c>
      <x:c r="B26" s="16" t="str">
        <x:v>实现各市取样与地区筛选</x:v>
      </x:c>
      <x:c r="C26" s="16" t="str">
        <x:v>FR-16</x:v>
      </x:c>
      <x:c r="D26" s="16" t="str">
        <x:v>T3.4FS; T3.3FS</x:v>
      </x:c>
      <x:c r="E26" s="17" t="n">
        <x:f>INT((T26-'项目总表'!$B$15)/7)+1</x:f>
        <x:v>5</x:v>
      </x:c>
      <x:c r="F26" s="17" t="n">
        <x:f>INT((U26-'项目总表'!$B$15)/7)+1</x:f>
        <x:v>5</x:v>
      </x:c>
      <x:c r="G26" s="17" t="str">
        <x:f>IF(COUNT($E26:$F26)&lt;2,"",IF(AND(G$6&gt;=$E26,G$6&lt;=$F26),"■",""))</x:f>
      </x:c>
      <x:c r="H26" s="17" t="str">
        <x:f>IF(COUNT($E26:$F26)&lt;2,"",IF(AND(H$6&gt;=$E26,H$6&lt;=$F26),"■",""))</x:f>
      </x:c>
      <x:c r="I26" s="17" t="str">
        <x:f>IF(COUNT($E26:$F26)&lt;2,"",IF(AND(I$6&gt;=$E26,I$6&lt;=$F26),"■",""))</x:f>
      </x:c>
      <x:c r="J26" s="17" t="str">
        <x:f>IF(COUNT($E26:$F26)&lt;2,"",IF(AND(J$6&gt;=$E26,J$6&lt;=$F26),"■",""))</x:f>
      </x:c>
      <x:c r="K26" s="17" t="str">
        <x:f>IF(COUNT($E26:$F26)&lt;2,"",IF(AND(K$6&gt;=$E26,K$6&lt;=$F26),"■",""))</x:f>
        <x:v>■</x:v>
      </x:c>
      <x:c r="L26" s="17" t="str">
        <x:f>IF(COUNT($E26:$F26)&lt;2,"",IF(AND(L$6&gt;=$E26,L$6&lt;=$F26),"■",""))</x:f>
      </x:c>
      <x:c r="M26" s="17" t="str">
        <x:f>IF(COUNT($E26:$F26)&lt;2,"",IF(AND(M$6&gt;=$E26,M$6&lt;=$F26),"■",""))</x:f>
      </x:c>
      <x:c r="N26" s="17" t="str">
        <x:f>IF(COUNT($E26:$F26)&lt;2,"",IF(AND(N$6&gt;=$E26,N$6&lt;=$F26),"■",""))</x:f>
      </x:c>
      <x:c r="O26" s="9" t="str">
        <x:v>开发</x:v>
      </x:c>
      <x:c r="P26" s="9" t="str">
        <x:v>备案/有效上报取样与同源图表</x:v>
      </x:c>
      <x:c r="Q26" s="19" t="n">
        <x:v>2</x:v>
      </x:c>
      <x:c r="R26" s="16" t="str">
        <x:v>R03</x:v>
      </x:c>
      <x:c r="S26" s="19" t="n">
        <x:f>SUM(Y26:AB26)</x:f>
        <x:v>15</x:v>
      </x:c>
      <x:c r="T26" s="12" t="n">
        <x:f>WORKDAY('项目总表'!$B$15-1,AL26)</x:f>
        <x:v>46344</x:v>
      </x:c>
      <x:c r="U26" s="12" t="n">
        <x:f>WORKDAY(T26-1,Q26)</x:f>
        <x:v>46345</x:v>
      </x:c>
      <x:c r="V26" s="9" t="str">
        <x:v>AC-07</x:v>
      </x:c>
      <x:c r="W26" s="9" t="str">
        <x:v>取样、地区过滤和同源图表复用查询；按模块专长重新分工，测试部署成员兼工具及自动化开发；仿真假设成熟组件和AI辅助使开发工作量为独立手写初估的50%，仍保留人工复核，非已完成代码复用</x:v>
      </x:c>
      <x:c r="X26" s="9" t="str">
        <x:v>仿真计划，未执行</x:v>
      </x:c>
      <x:c r="Y26" s="34" t="n">
        <x:f>AM26*'项目总表'!$B$53</x:f>
        <x:v>0</x:v>
      </x:c>
      <x:c r="Z26" s="34" t="n">
        <x:f>AN26*'项目总表'!$B$53</x:f>
        <x:v>3</x:v>
      </x:c>
      <x:c r="AA26" s="34" t="n">
        <x:f>AO26*'项目总表'!$B$53</x:f>
        <x:v>6</x:v>
      </x:c>
      <x:c r="AB26" s="34" t="n">
        <x:f>AP26*'项目总表'!$B$53</x:f>
        <x:v>6</x:v>
      </x:c>
      <x:c r="AC26" s="34" t="n">
        <x:f>Y26*'资源计划'!$F$8+Z26*'资源计划'!$F$9+AA26*'资源计划'!$F$10+AB26*'资源计划'!$F$11</x:f>
        <x:v>1500</x:v>
      </x:c>
      <x:c r="AD26" s="29" t="str">
        <x:v>中</x:v>
      </x:c>
      <x:c r="AE26" s="29" t="str">
        <x:v>取样、地区过滤和同源图表复用查询；按模块专长重新分工，测试部署成员兼工具及自动化开发；仿真假设成熟组件和AI辅助使开发工作量为独立手写初估的50%，仍保留人工复核，非已完成代码复用</x:v>
      </x:c>
      <x:c r="AF26" s="29" t="str">
        <x:v>否</x:v>
      </x:c>
      <x:c r="AG26" s="33" t="n">
        <x:v>4</x:v>
      </x:c>
      <x:c r="AH26" s="33" t="n">
        <x:f>Y26/Q26</x:f>
        <x:v>0</x:v>
      </x:c>
      <x:c r="AI26" s="33" t="n">
        <x:f>Z26/Q26</x:f>
        <x:v>1.5</x:v>
      </x:c>
      <x:c r="AJ26" s="33" t="n">
        <x:f>AA26/Q26</x:f>
        <x:v>3</x:v>
      </x:c>
      <x:c r="AK26" s="33" t="n">
        <x:f>AB26/Q26</x:f>
        <x:v>3</x:v>
      </x:c>
      <x:c r="AL26" s="41" t="n">
        <x:v>23</x:v>
      </x:c>
      <x:c r="AM26" s="33" t="n">
        <x:v>0</x:v>
      </x:c>
      <x:c r="AN26" s="33" t="n">
        <x:v>6</x:v>
      </x:c>
      <x:c r="AO26" s="33" t="n">
        <x:v>12</x:v>
      </x:c>
      <x:c r="AP26" s="33" t="n">
        <x:v>12</x:v>
      </x:c>
    </x:row>
    <x:row r="27" ht="58" customHeight="1">
      <x:c r="A27" s="16" t="str">
        <x:v>T3.13</x:v>
      </x:c>
      <x:c r="B27" s="16" t="str">
        <x:v>实现两期比较与连续期趋势</x:v>
      </x:c>
      <x:c r="C27" s="16" t="str">
        <x:v>FR-17, FR-18</x:v>
      </x:c>
      <x:c r="D27" s="16" t="str">
        <x:v>T3.10SS+1d</x:v>
      </x:c>
      <x:c r="E27" s="17" t="n">
        <x:f>INT((T27-'项目总表'!$B$15)/7)+1</x:f>
        <x:v>5</x:v>
      </x:c>
      <x:c r="F27" s="17" t="n">
        <x:f>INT((U27-'项目总表'!$B$15)/7)+1</x:f>
        <x:v>5</x:v>
      </x:c>
      <x:c r="G27" s="17" t="str">
        <x:f>IF(COUNT($E27:$F27)&lt;2,"",IF(AND(G$6&gt;=$E27,G$6&lt;=$F27),"■",""))</x:f>
      </x:c>
      <x:c r="H27" s="17" t="str">
        <x:f>IF(COUNT($E27:$F27)&lt;2,"",IF(AND(H$6&gt;=$E27,H$6&lt;=$F27),"■",""))</x:f>
      </x:c>
      <x:c r="I27" s="17" t="str">
        <x:f>IF(COUNT($E27:$F27)&lt;2,"",IF(AND(I$6&gt;=$E27,I$6&lt;=$F27),"■",""))</x:f>
      </x:c>
      <x:c r="J27" s="17" t="str">
        <x:f>IF(COUNT($E27:$F27)&lt;2,"",IF(AND(J$6&gt;=$E27,J$6&lt;=$F27),"■",""))</x:f>
      </x:c>
      <x:c r="K27" s="17" t="str">
        <x:f>IF(COUNT($E27:$F27)&lt;2,"",IF(AND(K$6&gt;=$E27,K$6&lt;=$F27),"■",""))</x:f>
        <x:v>■</x:v>
      </x:c>
      <x:c r="L27" s="17" t="str">
        <x:f>IF(COUNT($E27:$F27)&lt;2,"",IF(AND(L$6&gt;=$E27,L$6&lt;=$F27),"■",""))</x:f>
      </x:c>
      <x:c r="M27" s="17" t="str">
        <x:f>IF(COUNT($E27:$F27)&lt;2,"",IF(AND(M$6&gt;=$E27,M$6&lt;=$F27),"■",""))</x:f>
      </x:c>
      <x:c r="N27" s="17" t="str">
        <x:f>IF(COUNT($E27:$F27)&lt;2,"",IF(AND(N$6&gt;=$E27,N$6&lt;=$F27),"■",""))</x:f>
      </x:c>
      <x:c r="O27" s="9" t="str">
        <x:v>开发</x:v>
      </x:c>
      <x:c r="P27" s="9" t="str">
        <x:v>样本比较、趋势和缺失语义</x:v>
      </x:c>
      <x:c r="Q27" s="19" t="n">
        <x:v>3</x:v>
      </x:c>
      <x:c r="R27" s="16" t="str">
        <x:v>R01</x:v>
      </x:c>
      <x:c r="S27" s="19" t="n">
        <x:f>SUM(Y27:AB27)</x:f>
        <x:v>21</x:v>
      </x:c>
      <x:c r="T27" s="12" t="n">
        <x:f>WORKDAY('项目总表'!$B$15-1,AL27)</x:f>
        <x:v>46343</x:v>
      </x:c>
      <x:c r="U27" s="12" t="n">
        <x:f>WORKDAY(T27-1,Q27)</x:f>
        <x:v>46345</x:v>
      </x:c>
      <x:c r="V27" s="9" t="str">
        <x:v>AC-07</x:v>
      </x:c>
      <x:c r="W27" s="9" t="str">
        <x:v>两期、连续期趋势与缺样本语义；按模块专长重新分工，测试部署成员兼工具及自动化开发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27" s="9" t="str">
        <x:v>仿真计划，未执行</x:v>
      </x:c>
      <x:c r="Y27" s="34" t="n">
        <x:f>AM27*'项目总表'!$B$53</x:f>
        <x:v>10</x:v>
      </x:c>
      <x:c r="Z27" s="34" t="n">
        <x:f>AN27*'项目总表'!$B$53</x:f>
        <x:v>0</x:v>
      </x:c>
      <x:c r="AA27" s="34" t="n">
        <x:f>AO27*'项目总表'!$B$53</x:f>
        <x:v>9</x:v>
      </x:c>
      <x:c r="AB27" s="34" t="n">
        <x:f>AP27*'项目总表'!$B$53</x:f>
        <x:v>2</x:v>
      </x:c>
      <x:c r="AC27" s="34" t="n">
        <x:f>Y27*'资源计划'!$F$8+Z27*'资源计划'!$F$9+AA27*'资源计划'!$F$10+AB27*'资源计划'!$F$11</x:f>
        <x:v>2080</x:v>
      </x:c>
      <x:c r="AD27" s="29" t="str">
        <x:v>高</x:v>
      </x:c>
      <x:c r="AE27" s="29" t="str">
        <x:v>两期、连续期趋势与缺样本语义；按模块专长重新分工，测试部署成员兼工具及自动化开发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27" s="29" t="str">
        <x:v>否</x:v>
      </x:c>
      <x:c r="AG27" s="33" t="n">
        <x:v>4</x:v>
      </x:c>
      <x:c r="AH27" s="33" t="n">
        <x:f>Y27/Q27</x:f>
        <x:v>3.3333333333333335</x:v>
      </x:c>
      <x:c r="AI27" s="33" t="n">
        <x:f>Z27/Q27</x:f>
        <x:v>0</x:v>
      </x:c>
      <x:c r="AJ27" s="33" t="n">
        <x:f>AA27/Q27</x:f>
        <x:v>3</x:v>
      </x:c>
      <x:c r="AK27" s="33" t="n">
        <x:f>AB27/Q27</x:f>
        <x:v>0.6666666666666666</x:v>
      </x:c>
      <x:c r="AL27" s="41" t="n">
        <x:v>22</x:v>
      </x:c>
      <x:c r="AM27" s="33" t="n">
        <x:v>20</x:v>
      </x:c>
      <x:c r="AN27" s="33" t="n">
        <x:v>0</x:v>
      </x:c>
      <x:c r="AO27" s="33" t="n">
        <x:v>18</x:v>
      </x:c>
      <x:c r="AP27" s="33" t="n">
        <x:v>4</x:v>
      </x:c>
    </x:row>
    <x:row r="28" ht="58" customHeight="1">
      <x:c r="A28" s="16" t="str">
        <x:v>T3.14</x:v>
      </x:c>
      <x:c r="B28" s="16" t="str">
        <x:v>实现通知与用户管理界面</x:v>
      </x:c>
      <x:c r="C28" s="16" t="str">
        <x:v>FR-19, FR-20, FR-22, FR-23</x:v>
      </x:c>
      <x:c r="D28" s="16" t="str">
        <x:v>T3.2FS</x:v>
      </x:c>
      <x:c r="E28" s="17" t="n">
        <x:f>INT((T28-'项目总表'!$B$15)/7)+1</x:f>
        <x:v>5</x:v>
      </x:c>
      <x:c r="F28" s="17" t="n">
        <x:f>INT((U28-'项目总表'!$B$15)/7)+1</x:f>
        <x:v>5</x:v>
      </x:c>
      <x:c r="G28" s="17" t="str">
        <x:f>IF(COUNT($E28:$F28)&lt;2,"",IF(AND(G$6&gt;=$E28,G$6&lt;=$F28),"■",""))</x:f>
      </x:c>
      <x:c r="H28" s="17" t="str">
        <x:f>IF(COUNT($E28:$F28)&lt;2,"",IF(AND(H$6&gt;=$E28,H$6&lt;=$F28),"■",""))</x:f>
      </x:c>
      <x:c r="I28" s="17" t="str">
        <x:f>IF(COUNT($E28:$F28)&lt;2,"",IF(AND(I$6&gt;=$E28,I$6&lt;=$F28),"■",""))</x:f>
      </x:c>
      <x:c r="J28" s="17" t="str">
        <x:f>IF(COUNT($E28:$F28)&lt;2,"",IF(AND(J$6&gt;=$E28,J$6&lt;=$F28),"■",""))</x:f>
      </x:c>
      <x:c r="K28" s="17" t="str">
        <x:f>IF(COUNT($E28:$F28)&lt;2,"",IF(AND(K$6&gt;=$E28,K$6&lt;=$F28),"■",""))</x:f>
        <x:v>■</x:v>
      </x:c>
      <x:c r="L28" s="17" t="str">
        <x:f>IF(COUNT($E28:$F28)&lt;2,"",IF(AND(L$6&gt;=$E28,L$6&lt;=$F28),"■",""))</x:f>
      </x:c>
      <x:c r="M28" s="17" t="str">
        <x:f>IF(COUNT($E28:$F28)&lt;2,"",IF(AND(M$6&gt;=$E28,M$6&lt;=$F28),"■",""))</x:f>
      </x:c>
      <x:c r="N28" s="17" t="str">
        <x:f>IF(COUNT($E28:$F28)&lt;2,"",IF(AND(N$6&gt;=$E28,N$6&lt;=$F28),"■",""))</x:f>
      </x:c>
      <x:c r="O28" s="9" t="str">
        <x:v>开发</x:v>
      </x:c>
      <x:c r="P28" s="9" t="str">
        <x:v>通知可见范围与用户角色管理</x:v>
      </x:c>
      <x:c r="Q28" s="19" t="n">
        <x:v>2</x:v>
      </x:c>
      <x:c r="R28" s="16" t="str">
        <x:v>R03</x:v>
      </x:c>
      <x:c r="S28" s="19" t="n">
        <x:f>SUM(Y28:AB28)</x:f>
        <x:v>16</x:v>
      </x:c>
      <x:c r="T28" s="12" t="n">
        <x:f>WORKDAY('项目总表'!$B$15-1,AL28)</x:f>
        <x:v>46342</x:v>
      </x:c>
      <x:c r="U28" s="12" t="n">
        <x:f>WORKDAY(T28-1,Q28)</x:f>
        <x:v>46343</x:v>
      </x:c>
      <x:c r="V28" s="9" t="str">
        <x:v>AC-08, AC-05</x:v>
      </x:c>
      <x:c r="W28" s="9" t="str">
        <x:v>通知和账号管理界面复用权限基础；按模块专长重新分工，测试部署成员兼工具及自动化开发；仿真假设成熟组件和AI辅助使开发工作量为独立手写初估的50%，仍保留人工复核，非已完成代码复用</x:v>
      </x:c>
      <x:c r="X28" s="9" t="str">
        <x:v>仿真计划，未执行</x:v>
      </x:c>
      <x:c r="Y28" s="34" t="n">
        <x:f>AM28*'项目总表'!$B$53</x:f>
        <x:v>0</x:v>
      </x:c>
      <x:c r="Z28" s="34" t="n">
        <x:f>AN28*'项目总表'!$B$53</x:f>
        <x:v>2</x:v>
      </x:c>
      <x:c r="AA28" s="34" t="n">
        <x:f>AO28*'项目总表'!$B$53</x:f>
        <x:v>9</x:v>
      </x:c>
      <x:c r="AB28" s="34" t="n">
        <x:f>AP28*'项目总表'!$B$53</x:f>
        <x:v>5</x:v>
      </x:c>
      <x:c r="AC28" s="34" t="n">
        <x:f>Y28*'资源计划'!$F$8+Z28*'资源计划'!$F$9+AA28*'资源计划'!$F$10+AB28*'资源计划'!$F$11</x:f>
        <x:v>1590</x:v>
      </x:c>
      <x:c r="AD28" s="29" t="str">
        <x:v>中</x:v>
      </x:c>
      <x:c r="AE28" s="29" t="str">
        <x:v>通知和账号管理界面复用权限基础；按模块专长重新分工，测试部署成员兼工具及自动化开发；仿真假设成熟组件和AI辅助使开发工作量为独立手写初估的50%，仍保留人工复核，非已完成代码复用</x:v>
      </x:c>
      <x:c r="AF28" s="29" t="str">
        <x:v>否</x:v>
      </x:c>
      <x:c r="AG28" s="33" t="n">
        <x:v>5</x:v>
      </x:c>
      <x:c r="AH28" s="33" t="n">
        <x:f>Y28/Q28</x:f>
        <x:v>0</x:v>
      </x:c>
      <x:c r="AI28" s="33" t="n">
        <x:f>Z28/Q28</x:f>
        <x:v>1</x:v>
      </x:c>
      <x:c r="AJ28" s="33" t="n">
        <x:f>AA28/Q28</x:f>
        <x:v>4.5</x:v>
      </x:c>
      <x:c r="AK28" s="33" t="n">
        <x:f>AB28/Q28</x:f>
        <x:v>2.5</x:v>
      </x:c>
      <x:c r="AL28" s="41" t="n">
        <x:v>21</x:v>
      </x:c>
      <x:c r="AM28" s="33" t="n">
        <x:v>0</x:v>
      </x:c>
      <x:c r="AN28" s="33" t="n">
        <x:v>4</x:v>
      </x:c>
      <x:c r="AO28" s="33" t="n">
        <x:v>18</x:v>
      </x:c>
      <x:c r="AP28" s="33" t="n">
        <x:v>10</x:v>
      </x:c>
    </x:row>
    <x:row r="29" ht="58" customHeight="1">
      <x:c r="A29" s="16" t="str">
        <x:v>T3.15</x:v>
      </x:c>
      <x:c r="B29" s="16" t="str">
        <x:v>实现删除恢复、脱敏与审计</x:v>
      </x:c>
      <x:c r="C29" s="16" t="str">
        <x:v>FR-25, FR-27, NFR-09</x:v>
      </x:c>
      <x:c r="D29" s="16" t="str">
        <x:v>T3.8FS</x:v>
      </x:c>
      <x:c r="E29" s="17" t="n">
        <x:f>INT((T29-'项目总表'!$B$15)/7)+1</x:f>
        <x:v>4</x:v>
      </x:c>
      <x:c r="F29" s="17" t="n">
        <x:f>INT((U29-'项目总表'!$B$15)/7)+1</x:f>
        <x:v>4</x:v>
      </x:c>
      <x:c r="G29" s="17" t="str">
        <x:f>IF(COUNT($E29:$F29)&lt;2,"",IF(AND(G$6&gt;=$E29,G$6&lt;=$F29),"■",""))</x:f>
      </x:c>
      <x:c r="H29" s="17" t="str">
        <x:f>IF(COUNT($E29:$F29)&lt;2,"",IF(AND(H$6&gt;=$E29,H$6&lt;=$F29),"■",""))</x:f>
      </x:c>
      <x:c r="I29" s="17" t="str">
        <x:f>IF(COUNT($E29:$F29)&lt;2,"",IF(AND(I$6&gt;=$E29,I$6&lt;=$F29),"■",""))</x:f>
      </x:c>
      <x:c r="J29" s="17" t="str">
        <x:f>IF(COUNT($E29:$F29)&lt;2,"",IF(AND(J$6&gt;=$E29,J$6&lt;=$F29),"■",""))</x:f>
        <x:v>■</x:v>
      </x:c>
      <x:c r="K29" s="17" t="str">
        <x:f>IF(COUNT($E29:$F29)&lt;2,"",IF(AND(K$6&gt;=$E29,K$6&lt;=$F29),"■",""))</x:f>
      </x:c>
      <x:c r="L29" s="17" t="str">
        <x:f>IF(COUNT($E29:$F29)&lt;2,"",IF(AND(L$6&gt;=$E29,L$6&lt;=$F29),"■",""))</x:f>
      </x:c>
      <x:c r="M29" s="17" t="str">
        <x:f>IF(COUNT($E29:$F29)&lt;2,"",IF(AND(M$6&gt;=$E29,M$6&lt;=$F29),"■",""))</x:f>
      </x:c>
      <x:c r="N29" s="17" t="str">
        <x:f>IF(COUNT($E29:$F29)&lt;2,"",IF(AND(N$6&gt;=$E29,N$6&lt;=$F29),"■",""))</x:f>
      </x:c>
      <x:c r="O29" s="9" t="str">
        <x:v>开发</x:v>
      </x:c>
      <x:c r="P29" s="9" t="str">
        <x:v>删除恢复、保留计时与事件链</x:v>
      </x:c>
      <x:c r="Q29" s="19" t="n">
        <x:v>3</x:v>
      </x:c>
      <x:c r="R29" s="16" t="str">
        <x:v>R02</x:v>
      </x:c>
      <x:c r="S29" s="19" t="n">
        <x:f>SUM(Y29:AB29)</x:f>
        <x:v>23</x:v>
      </x:c>
      <x:c r="T29" s="12" t="n">
        <x:f>WORKDAY('项目总表'!$B$15-1,AL29)</x:f>
        <x:v>46337</x:v>
      </x:c>
      <x:c r="U29" s="12" t="n">
        <x:f>WORKDAY(T29-1,Q29)</x:f>
        <x:v>46339</x:v>
      </x:c>
      <x:c r="V29" s="9" t="str">
        <x:v>AC-09, AC-13</x:v>
      </x:c>
      <x:c r="W29" s="9" t="str">
        <x:v>删除恢复、清理计时、脱敏与审计链；按模块专长重新分工，测试部署成员兼工具及自动化开发；仿真假设成熟组件和AI辅助使开发工作量为独立手写初估的50%，仍保留人工复核，非已完成代码复用</x:v>
      </x:c>
      <x:c r="X29" s="9" t="str">
        <x:v>仿真计划，未执行</x:v>
      </x:c>
      <x:c r="Y29" s="34" t="n">
        <x:f>AM29*'项目总表'!$B$53</x:f>
        <x:v>3</x:v>
      </x:c>
      <x:c r="Z29" s="34" t="n">
        <x:f>AN29*'项目总表'!$B$53</x:f>
        <x:v>8</x:v>
      </x:c>
      <x:c r="AA29" s="34" t="n">
        <x:f>AO29*'项目总表'!$B$53</x:f>
        <x:v>5</x:v>
      </x:c>
      <x:c r="AB29" s="34" t="n">
        <x:f>AP29*'项目总表'!$B$53</x:f>
        <x:v>7</x:v>
      </x:c>
      <x:c r="AC29" s="34" t="n">
        <x:f>Y29*'资源计划'!$F$8+Z29*'资源计划'!$F$9+AA29*'资源计划'!$F$10+AB29*'资源计划'!$F$11</x:f>
        <x:v>2390</x:v>
      </x:c>
      <x:c r="AD29" s="29" t="str">
        <x:v>高</x:v>
      </x:c>
      <x:c r="AE29" s="29" t="str">
        <x:v>删除恢复、清理计时、脱敏与审计链；按模块专长重新分工，测试部署成员兼工具及自动化开发；仿真假设成熟组件和AI辅助使开发工作量为独立手写初估的50%，仍保留人工复核，非已完成代码复用</x:v>
      </x:c>
      <x:c r="AF29" s="29" t="str">
        <x:v>否</x:v>
      </x:c>
      <x:c r="AG29" s="33" t="n">
        <x:v>8</x:v>
      </x:c>
      <x:c r="AH29" s="33" t="n">
        <x:f>Y29/Q29</x:f>
        <x:v>1</x:v>
      </x:c>
      <x:c r="AI29" s="33" t="n">
        <x:f>Z29/Q29</x:f>
        <x:v>2.6666666666666665</x:v>
      </x:c>
      <x:c r="AJ29" s="33" t="n">
        <x:f>AA29/Q29</x:f>
        <x:v>1.6666666666666667</x:v>
      </x:c>
      <x:c r="AK29" s="33" t="n">
        <x:f>AB29/Q29</x:f>
        <x:v>2.3333333333333335</x:v>
      </x:c>
      <x:c r="AL29" s="41" t="n">
        <x:v>18</x:v>
      </x:c>
      <x:c r="AM29" s="33" t="n">
        <x:v>6</x:v>
      </x:c>
      <x:c r="AN29" s="33" t="n">
        <x:v>16</x:v>
      </x:c>
      <x:c r="AO29" s="33" t="n">
        <x:v>10</x:v>
      </x:c>
      <x:c r="AP29" s="33" t="n">
        <x:v>14</x:v>
      </x:c>
    </x:row>
    <x:row r="30" ht="58" customHeight="1">
      <x:c r="A30" s="16" t="str">
        <x:v>T3.16</x:v>
      </x:c>
      <x:c r="B30" s="16" t="str">
        <x:v>实现运行监控与指标采集</x:v>
      </x:c>
      <x:c r="C30" s="16" t="str">
        <x:v>FR-24, IF-04, NFR-11</x:v>
      </x:c>
      <x:c r="D30" s="16" t="str">
        <x:v>T3.1FS; T2.3FS</x:v>
      </x:c>
      <x:c r="E30" s="17" t="n">
        <x:f>INT((T30-'项目总表'!$B$15)/7)+1</x:f>
        <x:v>2</x:v>
      </x:c>
      <x:c r="F30" s="17" t="n">
        <x:f>INT((U30-'项目总表'!$B$15)/7)+1</x:f>
        <x:v>3</x:v>
      </x:c>
      <x:c r="G30" s="17" t="str">
        <x:f>IF(COUNT($E30:$F30)&lt;2,"",IF(AND(G$6&gt;=$E30,G$6&lt;=$F30),"■",""))</x:f>
      </x:c>
      <x:c r="H30" s="17" t="str">
        <x:f>IF(COUNT($E30:$F30)&lt;2,"",IF(AND(H$6&gt;=$E30,H$6&lt;=$F30),"■",""))</x:f>
        <x:v>■</x:v>
      </x:c>
      <x:c r="I30" s="17" t="str">
        <x:f>IF(COUNT($E30:$F30)&lt;2,"",IF(AND(I$6&gt;=$E30,I$6&lt;=$F30),"■",""))</x:f>
        <x:v>■</x:v>
      </x:c>
      <x:c r="J30" s="17" t="str">
        <x:f>IF(COUNT($E30:$F30)&lt;2,"",IF(AND(J$6&gt;=$E30,J$6&lt;=$F30),"■",""))</x:f>
      </x:c>
      <x:c r="K30" s="17" t="str">
        <x:f>IF(COUNT($E30:$F30)&lt;2,"",IF(AND(K$6&gt;=$E30,K$6&lt;=$F30),"■",""))</x:f>
      </x:c>
      <x:c r="L30" s="17" t="str">
        <x:f>IF(COUNT($E30:$F30)&lt;2,"",IF(AND(L$6&gt;=$E30,L$6&lt;=$F30),"■",""))</x:f>
      </x:c>
      <x:c r="M30" s="17" t="str">
        <x:f>IF(COUNT($E30:$F30)&lt;2,"",IF(AND(M$6&gt;=$E30,M$6&lt;=$F30),"■",""))</x:f>
      </x:c>
      <x:c r="N30" s="17" t="str">
        <x:f>IF(COUNT($E30:$F30)&lt;2,"",IF(AND(N$6&gt;=$E30,N$6&lt;=$F30),"■",""))</x:f>
      </x:c>
      <x:c r="O30" s="9" t="str">
        <x:v>开发</x:v>
      </x:c>
      <x:c r="P30" s="9" t="str">
        <x:v>宿主机指标、服务状态与过期标识</x:v>
      </x:c>
      <x:c r="Q30" s="19" t="n">
        <x:v>2</x:v>
      </x:c>
      <x:c r="R30" s="16" t="str">
        <x:v>R04</x:v>
      </x:c>
      <x:c r="S30" s="19" t="n">
        <x:f>SUM(Y30:AB30)</x:f>
        <x:v>18</x:v>
      </x:c>
      <x:c r="T30" s="12" t="n">
        <x:f>WORKDAY('项目总表'!$B$15-1,AL30)</x:f>
        <x:v>46325</x:v>
      </x:c>
      <x:c r="U30" s="12" t="n">
        <x:f>WORKDAY(T30-1,Q30)</x:f>
        <x:v>46328</x:v>
      </x:c>
      <x:c r="V30" s="9" t="str">
        <x:v>AC-14</x:v>
      </x:c>
      <x:c r="W30" s="9" t="str">
        <x:v>实际宿主采集与失败标识，复用监控库；按模块专长重新分工，测试部署成员兼工具及自动化开发；仿真假设成熟组件和AI辅助使开发工作量为独立手写初估的50%，仍保留人工复核，非已完成代码复用</x:v>
      </x:c>
      <x:c r="X30" s="9" t="str">
        <x:v>仿真计划，未执行</x:v>
      </x:c>
      <x:c r="Y30" s="34" t="n">
        <x:f>AM30*'项目总表'!$B$53</x:f>
        <x:v>0</x:v>
      </x:c>
      <x:c r="Z30" s="34" t="n">
        <x:f>AN30*'项目总表'!$B$53</x:f>
        <x:v>4</x:v>
      </x:c>
      <x:c r="AA30" s="34" t="n">
        <x:f>AO30*'项目总表'!$B$53</x:f>
        <x:v>4</x:v>
      </x:c>
      <x:c r="AB30" s="34" t="n">
        <x:f>AP30*'项目总表'!$B$53</x:f>
        <x:v>10</x:v>
      </x:c>
      <x:c r="AC30" s="34" t="n">
        <x:f>Y30*'资源计划'!$F$8+Z30*'资源计划'!$F$9+AA30*'资源计划'!$F$10+AB30*'资源计划'!$F$11</x:f>
        <x:v>1780</x:v>
      </x:c>
      <x:c r="AD30" s="29" t="str">
        <x:v>中</x:v>
      </x:c>
      <x:c r="AE30" s="29" t="str">
        <x:v>实际宿主采集与失败标识，复用监控库；按模块专长重新分工，测试部署成员兼工具及自动化开发；仿真假设成熟组件和AI辅助使开发工作量为独立手写初估的50%，仍保留人工复核，非已完成代码复用</x:v>
      </x:c>
      <x:c r="AF30" s="29" t="str">
        <x:v>否</x:v>
      </x:c>
      <x:c r="AG30" s="33" t="n">
        <x:v>17</x:v>
      </x:c>
      <x:c r="AH30" s="33" t="n">
        <x:f>Y30/Q30</x:f>
        <x:v>0</x:v>
      </x:c>
      <x:c r="AI30" s="33" t="n">
        <x:f>Z30/Q30</x:f>
        <x:v>2</x:v>
      </x:c>
      <x:c r="AJ30" s="33" t="n">
        <x:f>AA30/Q30</x:f>
        <x:v>2</x:v>
      </x:c>
      <x:c r="AK30" s="33" t="n">
        <x:f>AB30/Q30</x:f>
        <x:v>5</x:v>
      </x:c>
      <x:c r="AL30" s="41" t="n">
        <x:v>10</x:v>
      </x:c>
      <x:c r="AM30" s="33" t="n">
        <x:v>0</x:v>
      </x:c>
      <x:c r="AN30" s="33" t="n">
        <x:v>8</x:v>
      </x:c>
      <x:c r="AO30" s="33" t="n">
        <x:v>8</x:v>
      </x:c>
      <x:c r="AP30" s="33" t="n">
        <x:v>20</x:v>
      </x:c>
    </x:row>
    <x:row r="31" ht="58" customHeight="1">
      <x:c r="A31" s="16" t="str">
        <x:v>T3.17</x:v>
      </x:c>
      <x:c r="B31" s="16" t="str">
        <x:v>实现批次冻结与MOCK交换</x:v>
      </x:c>
      <x:c r="C31" s="16" t="str">
        <x:v>FR-26, IF-01</x:v>
      </x:c>
      <x:c r="D31" s="16" t="str">
        <x:v>T3.10SS+1d; T2.3FS</x:v>
      </x:c>
      <x:c r="E31" s="17" t="n">
        <x:f>INT((T31-'项目总表'!$B$15)/7)+1</x:f>
        <x:v>4</x:v>
      </x:c>
      <x:c r="F31" s="17" t="n">
        <x:f>INT((U31-'项目总表'!$B$15)/7)+1</x:f>
        <x:v>5</x:v>
      </x:c>
      <x:c r="G31" s="17" t="str">
        <x:f>IF(COUNT($E31:$F31)&lt;2,"",IF(AND(G$6&gt;=$E31,G$6&lt;=$F31),"■",""))</x:f>
      </x:c>
      <x:c r="H31" s="17" t="str">
        <x:f>IF(COUNT($E31:$F31)&lt;2,"",IF(AND(H$6&gt;=$E31,H$6&lt;=$F31),"■",""))</x:f>
      </x:c>
      <x:c r="I31" s="17" t="str">
        <x:f>IF(COUNT($E31:$F31)&lt;2,"",IF(AND(I$6&gt;=$E31,I$6&lt;=$F31),"■",""))</x:f>
      </x:c>
      <x:c r="J31" s="17" t="str">
        <x:f>IF(COUNT($E31:$F31)&lt;2,"",IF(AND(J$6&gt;=$E31,J$6&lt;=$F31),"■",""))</x:f>
        <x:v>■</x:v>
      </x:c>
      <x:c r="K31" s="17" t="str">
        <x:f>IF(COUNT($E31:$F31)&lt;2,"",IF(AND(K$6&gt;=$E31,K$6&lt;=$F31),"■",""))</x:f>
        <x:v>■</x:v>
      </x:c>
      <x:c r="L31" s="17" t="str">
        <x:f>IF(COUNT($E31:$F31)&lt;2,"",IF(AND(L$6&gt;=$E31,L$6&lt;=$F31),"■",""))</x:f>
      </x:c>
      <x:c r="M31" s="17" t="str">
        <x:f>IF(COUNT($E31:$F31)&lt;2,"",IF(AND(M$6&gt;=$E31,M$6&lt;=$F31),"■",""))</x:f>
      </x:c>
      <x:c r="N31" s="17" t="str">
        <x:f>IF(COUNT($E31:$F31)&lt;2,"",IF(AND(N$6&gt;=$E31,N$6&lt;=$F31),"■",""))</x:f>
      </x:c>
      <x:c r="O31" s="9" t="str">
        <x:v>开发</x:v>
      </x:c>
      <x:c r="P31" s="9" t="str">
        <x:v>批次、摘要、MOCK回执与恢复</x:v>
      </x:c>
      <x:c r="Q31" s="19" t="n">
        <x:v>3</x:v>
      </x:c>
      <x:c r="R31" s="16" t="str">
        <x:v>R02</x:v>
      </x:c>
      <x:c r="S31" s="19" t="n">
        <x:f>SUM(Y31:AB31)</x:f>
        <x:v>21</x:v>
      </x:c>
      <x:c r="T31" s="12" t="n">
        <x:f>WORKDAY('项目总表'!$B$15-1,AL31)</x:f>
        <x:v>46338</x:v>
      </x:c>
      <x:c r="U31" s="12" t="n">
        <x:f>WORKDAY(T31-1,Q31)</x:f>
        <x:v>46342</x:v>
      </x:c>
      <x:c r="V31" s="9" t="str">
        <x:v>AC-10A</x:v>
      </x:c>
      <x:c r="W31" s="9" t="str">
        <x:v>批次冻结、黄金摘要、MOCK回执及恢复；按模块专长重新分工，测试部署成员兼工具及自动化开发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X31" s="9" t="str">
        <x:v>仿真计划，未执行</x:v>
      </x:c>
      <x:c r="Y31" s="34" t="n">
        <x:f>AM31*'项目总表'!$B$53</x:f>
        <x:v>0</x:v>
      </x:c>
      <x:c r="Z31" s="34" t="n">
        <x:f>AN31*'项目总表'!$B$53</x:f>
        <x:v>15</x:v>
      </x:c>
      <x:c r="AA31" s="34" t="n">
        <x:f>AO31*'项目总表'!$B$53</x:f>
        <x:v>4</x:v>
      </x:c>
      <x:c r="AB31" s="34" t="n">
        <x:f>AP31*'项目总表'!$B$53</x:f>
        <x:v>2</x:v>
      </x:c>
      <x:c r="AC31" s="34" t="n">
        <x:f>Y31*'资源计划'!$F$8+Z31*'资源计划'!$F$9+AA31*'资源计划'!$F$10+AB31*'资源计划'!$F$11</x:f>
        <x:v>2380</x:v>
      </x:c>
      <x:c r="AD31" s="29" t="str">
        <x:v>高</x:v>
      </x:c>
      <x:c r="AE31" s="29" t="str">
        <x:v>批次冻结、黄金摘要、MOCK回执及恢复；按模块专长重新分工，测试部署成员兼工具及自动化开发；仿真假设成熟组件和AI辅助使开发工作量为独立手写初估的50%，仍保留人工复核，非已完成代码复用；已确认SRS接口后先交付内部接口骨架，模块重叠编码；集成和验收等待全部相关模块完成</x:v>
      </x:c>
      <x:c r="AF31" s="29" t="str">
        <x:v>否</x:v>
      </x:c>
      <x:c r="AG31" s="33" t="n">
        <x:v>7</x:v>
      </x:c>
      <x:c r="AH31" s="33" t="n">
        <x:f>Y31/Q31</x:f>
        <x:v>0</x:v>
      </x:c>
      <x:c r="AI31" s="33" t="n">
        <x:f>Z31/Q31</x:f>
        <x:v>5</x:v>
      </x:c>
      <x:c r="AJ31" s="33" t="n">
        <x:f>AA31/Q31</x:f>
        <x:v>1.3333333333333333</x:v>
      </x:c>
      <x:c r="AK31" s="33" t="n">
        <x:f>AB31/Q31</x:f>
        <x:v>0.6666666666666666</x:v>
      </x:c>
      <x:c r="AL31" s="41" t="n">
        <x:v>19</x:v>
      </x:c>
      <x:c r="AM31" s="33" t="n">
        <x:v>0</x:v>
      </x:c>
      <x:c r="AN31" s="33" t="n">
        <x:v>30</x:v>
      </x:c>
      <x:c r="AO31" s="33" t="n">
        <x:v>8</x:v>
      </x:c>
      <x:c r="AP31" s="33" t="n">
        <x:v>4</x:v>
      </x:c>
    </x:row>
    <x:row r="32" ht="58" customHeight="1">
      <x:c r="A32" s="16" t="str">
        <x:v>T3.18</x:v>
      </x:c>
      <x:c r="B32" s="16" t="str">
        <x:v>实现实际REAL协议适配</x:v>
      </x:c>
      <x:c r="C32" s="16" t="str">
        <x:v>FR-26, IF-01</x:v>
      </x:c>
      <x:c r="D32" s="16" t="str">
        <x:v>T2.4FS; T2.3FS</x:v>
      </x:c>
      <x:c r="E32" s="17" t="n">
        <x:f>INT((T32-'项目总表'!$B$15)/7)+1</x:f>
        <x:v>4</x:v>
      </x:c>
      <x:c r="F32" s="17" t="n">
        <x:f>INT((U32-'项目总表'!$B$15)/7)+1</x:f>
        <x:v>5</x:v>
      </x:c>
      <x:c r="G32" s="17" t="str">
        <x:f>IF(COUNT($E32:$F32)&lt;2,"",IF(AND(G$6&gt;=$E32,G$6&lt;=$F32),"■",""))</x:f>
      </x:c>
      <x:c r="H32" s="17" t="str">
        <x:f>IF(COUNT($E32:$F32)&lt;2,"",IF(AND(H$6&gt;=$E32,H$6&lt;=$F32),"■",""))</x:f>
      </x:c>
      <x:c r="I32" s="17" t="str">
        <x:f>IF(COUNT($E32:$F32)&lt;2,"",IF(AND(I$6&gt;=$E32,I$6&lt;=$F32),"■",""))</x:f>
      </x:c>
      <x:c r="J32" s="17" t="str">
        <x:f>IF(COUNT($E32:$F32)&lt;2,"",IF(AND(J$6&gt;=$E32,J$6&lt;=$F32),"■",""))</x:f>
        <x:v>■</x:v>
      </x:c>
      <x:c r="K32" s="17" t="str">
        <x:f>IF(COUNT($E32:$F32)&lt;2,"",IF(AND(K$6&gt;=$E32,K$6&lt;=$F32),"■",""))</x:f>
        <x:v>■</x:v>
      </x:c>
      <x:c r="L32" s="17" t="str">
        <x:f>IF(COUNT($E32:$F32)&lt;2,"",IF(AND(L$6&gt;=$E32,L$6&lt;=$F32),"■",""))</x:f>
      </x:c>
      <x:c r="M32" s="17" t="str">
        <x:f>IF(COUNT($E32:$F32)&lt;2,"",IF(AND(M$6&gt;=$E32,M$6&lt;=$F32),"■",""))</x:f>
      </x:c>
      <x:c r="N32" s="17" t="str">
        <x:f>IF(COUNT($E32:$F32)&lt;2,"",IF(AND(N$6&gt;=$E32,N$6&lt;=$F32),"■",""))</x:f>
      </x:c>
      <x:c r="O32" s="9" t="str">
        <x:v>条件开发</x:v>
      </x:c>
      <x:c r="P32" s="9" t="str">
        <x:v>实际认证、字段映射与传输适配</x:v>
      </x:c>
      <x:c r="Q32" s="19" t="n">
        <x:v>3</x:v>
      </x:c>
      <x:c r="R32" s="16" t="str">
        <x:v>R01</x:v>
      </x:c>
      <x:c r="S32" s="19" t="n">
        <x:f>SUM(Y32:AB32)</x:f>
        <x:v>18</x:v>
      </x:c>
      <x:c r="T32" s="12" t="n">
        <x:f>WORKDAY('项目总表'!$B$15-1,AL32)</x:f>
        <x:v>46338</x:v>
      </x:c>
      <x:c r="U32" s="12" t="n">
        <x:f>WORKDAY(T32-1,Q32)</x:f>
        <x:v>46342</x:v>
      </x:c>
      <x:c r="V32" s="9" t="str">
        <x:v>AC-10B</x:v>
      </x:c>
      <x:c r="W32" s="9" t="str">
        <x:v>按假定已具备的真实协议实现认证、映射及传输；复用批次界面，不另行重复前端开发；按模块专长重新分工，测试部署成员兼工具及自动化开发；仿真假设成熟组件和AI辅助使开发工作量为独立手写初估的50%，仍保留人工复核，非已完成代码复用</x:v>
      </x:c>
      <x:c r="X32" s="9" t="str">
        <x:v>仿真计划，未执行</x:v>
      </x:c>
      <x:c r="Y32" s="34" t="n">
        <x:f>AM32*'项目总表'!$B$53</x:f>
        <x:v>15</x:v>
      </x:c>
      <x:c r="Z32" s="34" t="n">
        <x:f>AN32*'项目总表'!$B$53</x:f>
        <x:v>0</x:v>
      </x:c>
      <x:c r="AA32" s="34" t="n">
        <x:f>AO32*'项目总表'!$B$53</x:f>
        <x:v>0</x:v>
      </x:c>
      <x:c r="AB32" s="34" t="n">
        <x:f>AP32*'项目总表'!$B$53</x:f>
        <x:v>3</x:v>
      </x:c>
      <x:c r="AC32" s="34" t="n">
        <x:f>Y32*'资源计划'!$F$8+Z32*'资源计划'!$F$9+AA32*'资源计划'!$F$10+AB32*'资源计划'!$F$11</x:f>
        <x:v>1770</x:v>
      </x:c>
      <x:c r="AD32" s="29" t="str">
        <x:v>高</x:v>
      </x:c>
      <x:c r="AE32" s="29" t="str">
        <x:v>按假定已具备的真实协议实现认证、映射及传输；复用批次界面，不另行重复前端开发；按模块专长重新分工，测试部署成员兼工具及自动化开发；仿真假设成熟组件和AI辅助使开发工作量为独立手写初估的50%，仍保留人工复核，非已完成代码复用</x:v>
      </x:c>
      <x:c r="AF32" s="29" t="str">
        <x:v>否</x:v>
      </x:c>
      <x:c r="AG32" s="33" t="n">
        <x:v>11</x:v>
      </x:c>
      <x:c r="AH32" s="33" t="n">
        <x:f>Y32/Q32</x:f>
        <x:v>5</x:v>
      </x:c>
      <x:c r="AI32" s="33" t="n">
        <x:f>Z32/Q32</x:f>
        <x:v>0</x:v>
      </x:c>
      <x:c r="AJ32" s="33" t="n">
        <x:f>AA32/Q32</x:f>
        <x:v>0</x:v>
      </x:c>
      <x:c r="AK32" s="33" t="n">
        <x:f>AB32/Q32</x:f>
        <x:v>1</x:v>
      </x:c>
      <x:c r="AL32" s="41" t="n">
        <x:v>19</x:v>
      </x:c>
      <x:c r="AM32" s="33" t="n">
        <x:v>30</x:v>
      </x:c>
      <x:c r="AN32" s="33" t="n">
        <x:v>0</x:v>
      </x:c>
      <x:c r="AO32" s="33" t="n">
        <x:v>0</x:v>
      </x:c>
      <x:c r="AP32" s="33" t="n">
        <x:v>6</x:v>
      </x:c>
    </x:row>
    <x:row r="33" ht="58" customHeight="1">
      <x:c r="A33" s="16" t="str">
        <x:v>T3.19</x:v>
      </x:c>
      <x:c r="B33" s="16" t="str">
        <x:v>编写配置、部署、备份与回滚</x:v>
      </x:c>
      <x:c r="C33" s="16" t="str">
        <x:v>NFR-04, NFR-05, NFR-11</x:v>
      </x:c>
      <x:c r="D33" s="16" t="str">
        <x:v>T3.1FS; T2.2FS</x:v>
      </x:c>
      <x:c r="E33" s="17" t="n">
        <x:f>INT((T33-'项目总表'!$B$15)/7)+1</x:f>
        <x:v>2</x:v>
      </x:c>
      <x:c r="F33" s="17" t="n">
        <x:f>INT((U33-'项目总表'!$B$15)/7)+1</x:f>
        <x:v>2</x:v>
      </x:c>
      <x:c r="G33" s="17" t="str">
        <x:f>IF(COUNT($E33:$F33)&lt;2,"",IF(AND(G$6&gt;=$E33,G$6&lt;=$F33),"■",""))</x:f>
      </x:c>
      <x:c r="H33" s="17" t="str">
        <x:f>IF(COUNT($E33:$F33)&lt;2,"",IF(AND(H$6&gt;=$E33,H$6&lt;=$F33),"■",""))</x:f>
        <x:v>■</x:v>
      </x:c>
      <x:c r="I33" s="17" t="str">
        <x:f>IF(COUNT($E33:$F33)&lt;2,"",IF(AND(I$6&gt;=$E33,I$6&lt;=$F33),"■",""))</x:f>
      </x:c>
      <x:c r="J33" s="17" t="str">
        <x:f>IF(COUNT($E33:$F33)&lt;2,"",IF(AND(J$6&gt;=$E33,J$6&lt;=$F33),"■",""))</x:f>
      </x:c>
      <x:c r="K33" s="17" t="str">
        <x:f>IF(COUNT($E33:$F33)&lt;2,"",IF(AND(K$6&gt;=$E33,K$6&lt;=$F33),"■",""))</x:f>
      </x:c>
      <x:c r="L33" s="17" t="str">
        <x:f>IF(COUNT($E33:$F33)&lt;2,"",IF(AND(L$6&gt;=$E33,L$6&lt;=$F33),"■",""))</x:f>
      </x:c>
      <x:c r="M33" s="17" t="str">
        <x:f>IF(COUNT($E33:$F33)&lt;2,"",IF(AND(M$6&gt;=$E33,M$6&lt;=$F33),"■",""))</x:f>
      </x:c>
      <x:c r="N33" s="17" t="str">
        <x:f>IF(COUNT($E33:$F33)&lt;2,"",IF(AND(N$6&gt;=$E33,N$6&lt;=$F33),"■",""))</x:f>
      </x:c>
      <x:c r="O33" s="9" t="str">
        <x:v>开发</x:v>
      </x:c>
      <x:c r="P33" s="9" t="str">
        <x:v>运行脚本、备份恢复与配置说明</x:v>
      </x:c>
      <x:c r="Q33" s="19" t="n">
        <x:v>3</x:v>
      </x:c>
      <x:c r="R33" s="16" t="str">
        <x:v>R04</x:v>
      </x:c>
      <x:c r="S33" s="19" t="n">
        <x:f>SUM(Y33:AB33)</x:f>
        <x:v>16</x:v>
      </x:c>
      <x:c r="T33" s="12" t="n">
        <x:f>WORKDAY('项目总表'!$B$15-1,AL33)</x:f>
        <x:v>46322</x:v>
      </x:c>
      <x:c r="U33" s="12" t="n">
        <x:f>WORKDAY(T33-1,Q33)</x:f>
        <x:v>46324</x:v>
      </x:c>
      <x:c r="V33" s="9" t="str">
        <x:v>AC-12, AC-14</x:v>
      </x:c>
      <x:c r="W33" s="9" t="str">
        <x:v>部署、配置、备份、迁移和回滚脚本；仿真假设成熟组件和AI辅助使开发工作量为独立手写初估的50%，仍保留人工复核，非已完成代码复用</x:v>
      </x:c>
      <x:c r="X33" s="9" t="str">
        <x:v>仿真计划，未执行</x:v>
      </x:c>
      <x:c r="Y33" s="34" t="n">
        <x:f>AM33*'项目总表'!$B$53</x:f>
        <x:v>2</x:v>
      </x:c>
      <x:c r="Z33" s="34" t="n">
        <x:f>AN33*'项目总表'!$B$53</x:f>
        <x:v>4</x:v>
      </x:c>
      <x:c r="AA33" s="34" t="n">
        <x:f>AO33*'项目总表'!$B$53</x:f>
        <x:v>0</x:v>
      </x:c>
      <x:c r="AB33" s="34" t="n">
        <x:f>AP33*'项目总表'!$B$53</x:f>
        <x:v>10</x:v>
      </x:c>
      <x:c r="AC33" s="34" t="n">
        <x:f>Y33*'资源计划'!$F$8+Z33*'资源计划'!$F$9+AA33*'资源计划'!$F$10+AB33*'资源计划'!$F$11</x:f>
        <x:v>1580</x:v>
      </x:c>
      <x:c r="AD33" s="29" t="str">
        <x:v>中</x:v>
      </x:c>
      <x:c r="AE33" s="29" t="str">
        <x:v>部署、配置、备份、迁移和回滚脚本；仿真假设成熟组件和AI辅助使开发工作量为独立手写初估的50%，仍保留人工复核，非已完成代码复用</x:v>
      </x:c>
      <x:c r="AF33" s="29" t="str">
        <x:v>否</x:v>
      </x:c>
      <x:c r="AG33" s="33" t="n">
        <x:v>19</x:v>
      </x:c>
      <x:c r="AH33" s="33" t="n">
        <x:f>Y33/Q33</x:f>
        <x:v>0.6666666666666666</x:v>
      </x:c>
      <x:c r="AI33" s="33" t="n">
        <x:f>Z33/Q33</x:f>
        <x:v>1.3333333333333333</x:v>
      </x:c>
      <x:c r="AJ33" s="33" t="n">
        <x:f>AA33/Q33</x:f>
        <x:v>0</x:v>
      </x:c>
      <x:c r="AK33" s="33" t="n">
        <x:f>AB33/Q33</x:f>
        <x:v>3.3333333333333335</x:v>
      </x:c>
      <x:c r="AL33" s="41" t="n">
        <x:v>7</x:v>
      </x:c>
      <x:c r="AM33" s="33" t="n">
        <x:v>4</x:v>
      </x:c>
      <x:c r="AN33" s="33" t="n">
        <x:v>8</x:v>
      </x:c>
      <x:c r="AO33" s="33" t="n">
        <x:v>0</x:v>
      </x:c>
      <x:c r="AP33" s="33" t="n">
        <x:v>20</x:v>
      </x:c>
    </x:row>
    <x:row r="34" ht="58" customHeight="1">
      <x:c r="A34" s="16" t="str">
        <x:v>T4.1</x:v>
      </x:c>
      <x:c r="B34" s="16" t="str">
        <x:v>评审主业务链阶段成果</x:v>
      </x:c>
      <x:c r="C34" s="16" t="str">
        <x:v>FR-02～11, FR-19～23</x:v>
      </x:c>
      <x:c r="D34" s="16" t="str">
        <x:v>T3.6FS; T3.7FS; T3.14FS</x:v>
      </x:c>
      <x:c r="E34" s="17" t="n">
        <x:f>INT((T34-'项目总表'!$B$15)/7)+1</x:f>
        <x:v>5</x:v>
      </x:c>
      <x:c r="F34" s="17" t="n">
        <x:f>INT((U34-'项目总表'!$B$15)/7)+1</x:f>
        <x:v>5</x:v>
      </x:c>
      <x:c r="G34" s="17" t="str">
        <x:f>IF(COUNT($E34:$F34)&lt;2,"",IF(AND(G$6&gt;=$E34,G$6&lt;=$F34),"■",""))</x:f>
      </x:c>
      <x:c r="H34" s="17" t="str">
        <x:f>IF(COUNT($E34:$F34)&lt;2,"",IF(AND(H$6&gt;=$E34,H$6&lt;=$F34),"■",""))</x:f>
      </x:c>
      <x:c r="I34" s="17" t="str">
        <x:f>IF(COUNT($E34:$F34)&lt;2,"",IF(AND(I$6&gt;=$E34,I$6&lt;=$F34),"■",""))</x:f>
      </x:c>
      <x:c r="J34" s="17" t="str">
        <x:f>IF(COUNT($E34:$F34)&lt;2,"",IF(AND(J$6&gt;=$E34,J$6&lt;=$F34),"■",""))</x:f>
      </x:c>
      <x:c r="K34" s="17" t="str">
        <x:f>IF(COUNT($E34:$F34)&lt;2,"",IF(AND(K$6&gt;=$E34,K$6&lt;=$F34),"■",""))</x:f>
        <x:v>■</x:v>
      </x:c>
      <x:c r="L34" s="17" t="str">
        <x:f>IF(COUNT($E34:$F34)&lt;2,"",IF(AND(L$6&gt;=$E34,L$6&lt;=$F34),"■",""))</x:f>
      </x:c>
      <x:c r="M34" s="17" t="str">
        <x:f>IF(COUNT($E34:$F34)&lt;2,"",IF(AND(M$6&gt;=$E34,M$6&lt;=$F34),"■",""))</x:f>
      </x:c>
      <x:c r="N34" s="17" t="str">
        <x:f>IF(COUNT($E34:$F34)&lt;2,"",IF(AND(N$6&gt;=$E34,N$6&lt;=$F34),"■",""))</x:f>
      </x:c>
      <x:c r="O34" s="9" t="str">
        <x:v>阶段评审</x:v>
      </x:c>
      <x:c r="P34" s="9" t="str">
        <x:v>主业务链阶段评审记录</x:v>
      </x:c>
      <x:c r="Q34" s="19" t="n">
        <x:v>1</x:v>
      </x:c>
      <x:c r="R34" s="16" t="str">
        <x:v>R01</x:v>
      </x:c>
      <x:c r="S34" s="19" t="n">
        <x:f>SUM(Y34:AB34)</x:f>
        <x:v>12</x:v>
      </x:c>
      <x:c r="T34" s="12" t="n">
        <x:f>WORKDAY('项目总表'!$B$15-1,AL34)</x:f>
        <x:v>46346</x:v>
      </x:c>
      <x:c r="U34" s="12" t="n">
        <x:f>WORKDAY(T34-1,Q34)</x:f>
        <x:v>46346</x:v>
      </x:c>
      <x:c r="V34" s="9" t="str">
        <x:v>AC-01～03, AC-08</x:v>
      </x:c>
      <x:c r="W34" s="9" t="str">
        <x:v>四人阶段评审、检查AC与未解决问题</x:v>
      </x:c>
      <x:c r="X34" s="9" t="str">
        <x:v>仿真计划，未执行</x:v>
      </x:c>
      <x:c r="Y34" s="34" t="n">
        <x:f>AM34</x:f>
        <x:v>4</x:v>
      </x:c>
      <x:c r="Z34" s="34" t="n">
        <x:f>AN34</x:f>
        <x:v>2</x:v>
      </x:c>
      <x:c r="AA34" s="34" t="n">
        <x:f>AO34</x:f>
        <x:v>2</x:v>
      </x:c>
      <x:c r="AB34" s="34" t="n">
        <x:f>AP34</x:f>
        <x:v>4</x:v>
      </x:c>
      <x:c r="AC34" s="34" t="n">
        <x:f>Y34*'资源计划'!$F$8+Z34*'资源计划'!$F$9+AA34*'资源计划'!$F$10+AB34*'资源计划'!$F$11</x:f>
        <x:v>1200</x:v>
      </x:c>
      <x:c r="AD34" s="29" t="str">
        <x:v>中</x:v>
      </x:c>
      <x:c r="AE34" s="29" t="str">
        <x:v>四人阶段评审、检查AC与未解决问题</x:v>
      </x:c>
      <x:c r="AF34" s="29" t="str">
        <x:v>否</x:v>
      </x:c>
      <x:c r="AG34" s="33" t="n">
        <x:v>3</x:v>
      </x:c>
      <x:c r="AH34" s="33" t="n">
        <x:f>Y34/Q34</x:f>
        <x:v>4</x:v>
      </x:c>
      <x:c r="AI34" s="33" t="n">
        <x:f>Z34/Q34</x:f>
        <x:v>2</x:v>
      </x:c>
      <x:c r="AJ34" s="33" t="n">
        <x:f>AA34/Q34</x:f>
        <x:v>2</x:v>
      </x:c>
      <x:c r="AK34" s="33" t="n">
        <x:f>AB34/Q34</x:f>
        <x:v>4</x:v>
      </x:c>
      <x:c r="AL34" s="41" t="n">
        <x:v>25</x:v>
      </x:c>
      <x:c r="AM34" s="33" t="n">
        <x:v>4</x:v>
      </x:c>
      <x:c r="AN34" s="33" t="n">
        <x:v>2</x:v>
      </x:c>
      <x:c r="AO34" s="33" t="n">
        <x:v>2</x:v>
      </x:c>
      <x:c r="AP34" s="33" t="n">
        <x:v>4</x:v>
      </x:c>
    </x:row>
    <x:row r="35" ht="58" customHeight="1">
      <x:c r="A35" s="16" t="str">
        <x:v>T4.2</x:v>
      </x:c>
      <x:c r="B35" s="16" t="str">
        <x:v>完成本地模块集成</x:v>
      </x:c>
      <x:c r="C35" s="16" t="str">
        <x:v>FR-01～28, IF-01～04</x:v>
      </x:c>
      <x:c r="D35" s="16" t="str">
        <x:v>T3.11FS; T3.13FS; T3.15FS; T3.16FS; T3.17FS; T3.19FS; T4.1FS; T3.12FS</x:v>
      </x:c>
      <x:c r="E35" s="17" t="n">
        <x:f>INT((T35-'项目总表'!$B$15)/7)+1</x:f>
        <x:v>6</x:v>
      </x:c>
      <x:c r="F35" s="17" t="n">
        <x:f>INT((U35-'项目总表'!$B$15)/7)+1</x:f>
        <x:v>6</x:v>
      </x:c>
      <x:c r="G35" s="17" t="str">
        <x:f>IF(COUNT($E35:$F35)&lt;2,"",IF(AND(G$6&gt;=$E35,G$6&lt;=$F35),"■",""))</x:f>
      </x:c>
      <x:c r="H35" s="17" t="str">
        <x:f>IF(COUNT($E35:$F35)&lt;2,"",IF(AND(H$6&gt;=$E35,H$6&lt;=$F35),"■",""))</x:f>
      </x:c>
      <x:c r="I35" s="17" t="str">
        <x:f>IF(COUNT($E35:$F35)&lt;2,"",IF(AND(I$6&gt;=$E35,I$6&lt;=$F35),"■",""))</x:f>
      </x:c>
      <x:c r="J35" s="17" t="str">
        <x:f>IF(COUNT($E35:$F35)&lt;2,"",IF(AND(J$6&gt;=$E35,J$6&lt;=$F35),"■",""))</x:f>
      </x:c>
      <x:c r="K35" s="17" t="str">
        <x:f>IF(COUNT($E35:$F35)&lt;2,"",IF(AND(K$6&gt;=$E35,K$6&lt;=$F35),"■",""))</x:f>
      </x:c>
      <x:c r="L35" s="17" t="str">
        <x:f>IF(COUNT($E35:$F35)&lt;2,"",IF(AND(L$6&gt;=$E35,L$6&lt;=$F35),"■",""))</x:f>
        <x:v>■</x:v>
      </x:c>
      <x:c r="M35" s="17" t="str">
        <x:f>IF(COUNT($E35:$F35)&lt;2,"",IF(AND(M$6&gt;=$E35,M$6&lt;=$F35),"■",""))</x:f>
      </x:c>
      <x:c r="N35" s="17" t="str">
        <x:f>IF(COUNT($E35:$F35)&lt;2,"",IF(AND(N$6&gt;=$E35,N$6&lt;=$F35),"■",""))</x:f>
      </x:c>
      <x:c r="O35" s="9" t="str">
        <x:v>集成</x:v>
      </x:c>
      <x:c r="P35" s="9" t="str">
        <x:v>可构建本地集成版本</x:v>
      </x:c>
      <x:c r="Q35" s="19" t="n">
        <x:v>2</x:v>
      </x:c>
      <x:c r="R35" s="16" t="str">
        <x:v>R02</x:v>
      </x:c>
      <x:c r="S35" s="19" t="n">
        <x:f>SUM(Y35:AB35)</x:f>
        <x:v>34</x:v>
      </x:c>
      <x:c r="T35" s="12" t="n">
        <x:f>WORKDAY('项目总表'!$B$15-1,AL35)</x:f>
        <x:v>46349</x:v>
      </x:c>
      <x:c r="U35" s="12" t="n">
        <x:f>WORKDAY(T35-1,Q35)</x:f>
        <x:v>46350</x:v>
      </x:c>
      <x:c r="V35" s="9" t="str">
        <x:v>集成评审</x:v>
      </x:c>
      <x:c r="W35" s="9" t="str">
        <x:v>多模块集成、数据一致性和联调</x:v>
      </x:c>
      <x:c r="X35" s="9" t="str">
        <x:v>仿真计划，未执行</x:v>
      </x:c>
      <x:c r="Y35" s="34" t="n">
        <x:f>AM35</x:f>
        <x:v>8</x:v>
      </x:c>
      <x:c r="Z35" s="34" t="n">
        <x:f>AN35</x:f>
        <x:v>10</x:v>
      </x:c>
      <x:c r="AA35" s="34" t="n">
        <x:f>AO35</x:f>
        <x:v>8</x:v>
      </x:c>
      <x:c r="AB35" s="34" t="n">
        <x:f>AP35</x:f>
        <x:v>8</x:v>
      </x:c>
      <x:c r="AC35" s="34" t="n">
        <x:f>Y35*'资源计划'!$F$8+Z35*'资源计划'!$F$9+AA35*'资源计划'!$F$10+AB35*'资源计划'!$F$11</x:f>
        <x:v>3520</x:v>
      </x:c>
      <x:c r="AD35" s="29" t="str">
        <x:v>高</x:v>
      </x:c>
      <x:c r="AE35" s="29" t="str">
        <x:v>多模块集成、数据一致性和联调</x:v>
      </x:c>
      <x:c r="AF35" s="29" t="str">
        <x:v>否</x:v>
      </x:c>
      <x:c r="AG35" s="33" t="n">
        <x:v>3</x:v>
      </x:c>
      <x:c r="AH35" s="33" t="n">
        <x:f>Y35/Q35</x:f>
        <x:v>4</x:v>
      </x:c>
      <x:c r="AI35" s="33" t="n">
        <x:f>Z35/Q35</x:f>
        <x:v>5</x:v>
      </x:c>
      <x:c r="AJ35" s="33" t="n">
        <x:f>AA35/Q35</x:f>
        <x:v>4</x:v>
      </x:c>
      <x:c r="AK35" s="33" t="n">
        <x:f>AB35/Q35</x:f>
        <x:v>4</x:v>
      </x:c>
      <x:c r="AL35" s="41" t="n">
        <x:v>26</x:v>
      </x:c>
      <x:c r="AM35" s="33" t="n">
        <x:v>8</x:v>
      </x:c>
      <x:c r="AN35" s="33" t="n">
        <x:v>10</x:v>
      </x:c>
      <x:c r="AO35" s="33" t="n">
        <x:v>8</x:v>
      </x:c>
      <x:c r="AP35" s="33" t="n">
        <x:v>8</x:v>
      </x:c>
    </x:row>
    <x:row r="36" ht="58" customHeight="1">
      <x:c r="A36" s="16" t="str">
        <x:v>T4.3</x:v>
      </x:c>
      <x:c r="B36" s="16" t="str">
        <x:v>执行业务功能与边界测试</x:v>
      </x:c>
      <x:c r="C36" s="16" t="str">
        <x:v>FR-01～28, IF-02, IF-03</x:v>
      </x:c>
      <x:c r="D36" s="16" t="str">
        <x:v>T4.2FS; T1.3FS</x:v>
      </x:c>
      <x:c r="E36" s="17" t="n">
        <x:f>INT((T36-'项目总表'!$B$15)/7)+1</x:f>
        <x:v>7</x:v>
      </x:c>
      <x:c r="F36" s="17" t="n">
        <x:f>INT((U36-'项目总表'!$B$15)/7)+1</x:f>
        <x:v>7</x:v>
      </x:c>
      <x:c r="G36" s="17" t="str">
        <x:f>IF(COUNT($E36:$F36)&lt;2,"",IF(AND(G$6&gt;=$E36,G$6&lt;=$F36),"■",""))</x:f>
      </x:c>
      <x:c r="H36" s="17" t="str">
        <x:f>IF(COUNT($E36:$F36)&lt;2,"",IF(AND(H$6&gt;=$E36,H$6&lt;=$F36),"■",""))</x:f>
      </x:c>
      <x:c r="I36" s="17" t="str">
        <x:f>IF(COUNT($E36:$F36)&lt;2,"",IF(AND(I$6&gt;=$E36,I$6&lt;=$F36),"■",""))</x:f>
      </x:c>
      <x:c r="J36" s="17" t="str">
        <x:f>IF(COUNT($E36:$F36)&lt;2,"",IF(AND(J$6&gt;=$E36,J$6&lt;=$F36),"■",""))</x:f>
      </x:c>
      <x:c r="K36" s="17" t="str">
        <x:f>IF(COUNT($E36:$F36)&lt;2,"",IF(AND(K$6&gt;=$E36,K$6&lt;=$F36),"■",""))</x:f>
      </x:c>
      <x:c r="L36" s="17" t="str">
        <x:f>IF(COUNT($E36:$F36)&lt;2,"",IF(AND(L$6&gt;=$E36,L$6&lt;=$F36),"■",""))</x:f>
      </x:c>
      <x:c r="M36" s="17" t="str">
        <x:f>IF(COUNT($E36:$F36)&lt;2,"",IF(AND(M$6&gt;=$E36,M$6&lt;=$F36),"■",""))</x:f>
        <x:v>■</x:v>
      </x:c>
      <x:c r="N36" s="17" t="str">
        <x:f>IF(COUNT($E36:$F36)&lt;2,"",IF(AND(N$6&gt;=$E36,N$6&lt;=$F36),"■",""))</x:f>
      </x:c>
      <x:c r="O36" s="9" t="str">
        <x:v>测试</x:v>
      </x:c>
      <x:c r="P36" s="9" t="str">
        <x:v>AC-01～09结果与缺陷记录</x:v>
      </x:c>
      <x:c r="Q36" s="19" t="n">
        <x:v>3</x:v>
      </x:c>
      <x:c r="R36" s="16" t="str">
        <x:v>R04</x:v>
      </x:c>
      <x:c r="S36" s="19" t="n">
        <x:f>SUM(Y36:AB36)</x:f>
        <x:v>36</x:v>
      </x:c>
      <x:c r="T36" s="12" t="n">
        <x:f>WORKDAY('项目总表'!$B$15-1,AL36)</x:f>
        <x:v>46356</x:v>
      </x:c>
      <x:c r="U36" s="12" t="n">
        <x:f>WORKDAY(T36-1,Q36)</x:f>
        <x:v>46358</x:v>
      </x:c>
      <x:c r="V36" s="9" t="str">
        <x:v>AC-01～09</x:v>
      </x:c>
      <x:c r="W36" s="9" t="str">
        <x:v>QA主导，开发人员并行执行AC-01至09</x:v>
      </x:c>
      <x:c r="X36" s="9" t="str">
        <x:v>仿真计划，未执行</x:v>
      </x:c>
      <x:c r="Y36" s="34" t="n">
        <x:f>AM36</x:f>
        <x:v>8</x:v>
      </x:c>
      <x:c r="Z36" s="34" t="n">
        <x:f>AN36</x:f>
        <x:v>8</x:v>
      </x:c>
      <x:c r="AA36" s="34" t="n">
        <x:f>AO36</x:f>
        <x:v>8</x:v>
      </x:c>
      <x:c r="AB36" s="34" t="n">
        <x:f>AP36</x:f>
        <x:v>12</x:v>
      </x:c>
      <x:c r="AC36" s="34" t="n">
        <x:f>Y36*'资源计划'!$F$8+Z36*'资源计划'!$F$9+AA36*'资源计划'!$F$10+AB36*'资源计划'!$F$11</x:f>
        <x:v>3640</x:v>
      </x:c>
      <x:c r="AD36" s="29" t="str">
        <x:v>高</x:v>
      </x:c>
      <x:c r="AE36" s="29" t="str">
        <x:v>QA主导，开发人员并行执行AC-01至09</x:v>
      </x:c>
      <x:c r="AF36" s="29" t="str">
        <x:v>否</x:v>
      </x:c>
      <x:c r="AG36" s="33" t="n">
        <x:v>1</x:v>
      </x:c>
      <x:c r="AH36" s="33" t="n">
        <x:f>Y36/Q36</x:f>
        <x:v>2.6666666666666665</x:v>
      </x:c>
      <x:c r="AI36" s="33" t="n">
        <x:f>Z36/Q36</x:f>
        <x:v>2.6666666666666665</x:v>
      </x:c>
      <x:c r="AJ36" s="33" t="n">
        <x:f>AA36/Q36</x:f>
        <x:v>2.6666666666666665</x:v>
      </x:c>
      <x:c r="AK36" s="33" t="n">
        <x:f>AB36/Q36</x:f>
        <x:v>4</x:v>
      </x:c>
      <x:c r="AL36" s="41" t="n">
        <x:v>31</x:v>
      </x:c>
      <x:c r="AM36" s="33" t="n">
        <x:v>8</x:v>
      </x:c>
      <x:c r="AN36" s="33" t="n">
        <x:v>8</x:v>
      </x:c>
      <x:c r="AO36" s="33" t="n">
        <x:v>8</x:v>
      </x:c>
      <x:c r="AP36" s="33" t="n">
        <x:v>12</x:v>
      </x:c>
    </x:row>
    <x:row r="37" ht="58" customHeight="1">
      <x:c r="A37" s="16" t="str">
        <x:v>T4.4</x:v>
      </x:c>
      <x:c r="B37" s="16" t="str">
        <x:v>验证MOCK回执与黄金摘要</x:v>
      </x:c>
      <x:c r="C37" s="16" t="str">
        <x:v>FR-26, IF-01</x:v>
      </x:c>
      <x:c r="D37" s="16" t="str">
        <x:v>T3.17FS; T1.3FS</x:v>
      </x:c>
      <x:c r="E37" s="17" t="n">
        <x:f>INT((T37-'项目总表'!$B$15)/7)+1</x:f>
        <x:v>5</x:v>
      </x:c>
      <x:c r="F37" s="17" t="n">
        <x:f>INT((U37-'项目总表'!$B$15)/7)+1</x:f>
        <x:v>5</x:v>
      </x:c>
      <x:c r="G37" s="17" t="str">
        <x:f>IF(COUNT($E37:$F37)&lt;2,"",IF(AND(G$6&gt;=$E37,G$6&lt;=$F37),"■",""))</x:f>
      </x:c>
      <x:c r="H37" s="17" t="str">
        <x:f>IF(COUNT($E37:$F37)&lt;2,"",IF(AND(H$6&gt;=$E37,H$6&lt;=$F37),"■",""))</x:f>
      </x:c>
      <x:c r="I37" s="17" t="str">
        <x:f>IF(COUNT($E37:$F37)&lt;2,"",IF(AND(I$6&gt;=$E37,I$6&lt;=$F37),"■",""))</x:f>
      </x:c>
      <x:c r="J37" s="17" t="str">
        <x:f>IF(COUNT($E37:$F37)&lt;2,"",IF(AND(J$6&gt;=$E37,J$6&lt;=$F37),"■",""))</x:f>
      </x:c>
      <x:c r="K37" s="17" t="str">
        <x:f>IF(COUNT($E37:$F37)&lt;2,"",IF(AND(K$6&gt;=$E37,K$6&lt;=$F37),"■",""))</x:f>
        <x:v>■</x:v>
      </x:c>
      <x:c r="L37" s="17" t="str">
        <x:f>IF(COUNT($E37:$F37)&lt;2,"",IF(AND(L$6&gt;=$E37,L$6&lt;=$F37),"■",""))</x:f>
      </x:c>
      <x:c r="M37" s="17" t="str">
        <x:f>IF(COUNT($E37:$F37)&lt;2,"",IF(AND(M$6&gt;=$E37,M$6&lt;=$F37),"■",""))</x:f>
      </x:c>
      <x:c r="N37" s="17" t="str">
        <x:f>IF(COUNT($E37:$F37)&lt;2,"",IF(AND(N$6&gt;=$E37,N$6&lt;=$F37),"■",""))</x:f>
      </x:c>
      <x:c r="O37" s="9" t="str">
        <x:v>测试</x:v>
      </x:c>
      <x:c r="P37" s="9" t="str">
        <x:v>跨语言摘要、回执及异常恢复证据</x:v>
      </x:c>
      <x:c r="Q37" s="19" t="n">
        <x:v>2</x:v>
      </x:c>
      <x:c r="R37" s="16" t="str">
        <x:v>R04</x:v>
      </x:c>
      <x:c r="S37" s="19" t="n">
        <x:f>SUM(Y37:AB37)</x:f>
        <x:v>16</x:v>
      </x:c>
      <x:c r="T37" s="12" t="n">
        <x:f>WORKDAY('项目总表'!$B$15-1,AL37)</x:f>
        <x:v>46343</x:v>
      </x:c>
      <x:c r="U37" s="12" t="n">
        <x:f>WORKDAY(T37-1,Q37)</x:f>
        <x:v>46344</x:v>
      </x:c>
      <x:c r="V37" s="9" t="str">
        <x:v>AC-10A</x:v>
      </x:c>
      <x:c r="W37" s="9" t="str">
        <x:v>黄金摘要、回执超时与恢复测试</x:v>
      </x:c>
      <x:c r="X37" s="9" t="str">
        <x:v>仿真计划，未执行</x:v>
      </x:c>
      <x:c r="Y37" s="34" t="n">
        <x:f>AM37</x:f>
        <x:v>0</x:v>
      </x:c>
      <x:c r="Z37" s="34" t="n">
        <x:f>AN37</x:f>
        <x:v>8</x:v>
      </x:c>
      <x:c r="AA37" s="34" t="n">
        <x:f>AO37</x:f>
        <x:v>0</x:v>
      </x:c>
      <x:c r="AB37" s="34" t="n">
        <x:f>AP37</x:f>
        <x:v>8</x:v>
      </x:c>
      <x:c r="AC37" s="34" t="n">
        <x:f>Y37*'资源计划'!$F$8+Z37*'资源计划'!$F$9+AA37*'资源计划'!$F$10+AB37*'资源计划'!$F$11</x:f>
        <x:v>1680</x:v>
      </x:c>
      <x:c r="AD37" s="29" t="str">
        <x:v>中</x:v>
      </x:c>
      <x:c r="AE37" s="29" t="str">
        <x:v>黄金摘要、回执超时与恢复测试</x:v>
      </x:c>
      <x:c r="AF37" s="29" t="str">
        <x:v>否</x:v>
      </x:c>
      <x:c r="AG37" s="33" t="n">
        <x:v>11</x:v>
      </x:c>
      <x:c r="AH37" s="33" t="n">
        <x:f>Y37/Q37</x:f>
        <x:v>0</x:v>
      </x:c>
      <x:c r="AI37" s="33" t="n">
        <x:f>Z37/Q37</x:f>
        <x:v>4</x:v>
      </x:c>
      <x:c r="AJ37" s="33" t="n">
        <x:f>AA37/Q37</x:f>
        <x:v>0</x:v>
      </x:c>
      <x:c r="AK37" s="33" t="n">
        <x:f>AB37/Q37</x:f>
        <x:v>4</x:v>
      </x:c>
      <x:c r="AL37" s="41" t="n">
        <x:v>22</x:v>
      </x:c>
      <x:c r="AM37" s="33" t="n">
        <x:v>0</x:v>
      </x:c>
      <x:c r="AN37" s="33" t="n">
        <x:v>8</x:v>
      </x:c>
      <x:c r="AO37" s="33" t="n">
        <x:v>0</x:v>
      </x:c>
      <x:c r="AP37" s="33" t="n">
        <x:v>8</x:v>
      </x:c>
    </x:row>
    <x:row r="38" ht="58" customHeight="1">
      <x:c r="A38" s="16" t="str">
        <x:v>T4.5</x:v>
      </x:c>
      <x:c r="B38" s="16" t="str">
        <x:v>完成实际国家交换验证</x:v>
      </x:c>
      <x:c r="C38" s="16" t="str">
        <x:v>FR-26, IF-01</x:v>
      </x:c>
      <x:c r="D38" s="16" t="str">
        <x:v>T3.18FS; T2.4FS</x:v>
      </x:c>
      <x:c r="E38" s="17" t="n">
        <x:f>INT((T38-'项目总表'!$B$15)/7)+1</x:f>
        <x:v>5</x:v>
      </x:c>
      <x:c r="F38" s="17" t="n">
        <x:f>INT((U38-'项目总表'!$B$15)/7)+1</x:f>
        <x:v>5</x:v>
      </x:c>
      <x:c r="G38" s="17" t="str">
        <x:f>IF(COUNT($E38:$F38)&lt;2,"",IF(AND(G$6&gt;=$E38,G$6&lt;=$F38),"■",""))</x:f>
      </x:c>
      <x:c r="H38" s="17" t="str">
        <x:f>IF(COUNT($E38:$F38)&lt;2,"",IF(AND(H$6&gt;=$E38,H$6&lt;=$F38),"■",""))</x:f>
      </x:c>
      <x:c r="I38" s="17" t="str">
        <x:f>IF(COUNT($E38:$F38)&lt;2,"",IF(AND(I$6&gt;=$E38,I$6&lt;=$F38),"■",""))</x:f>
      </x:c>
      <x:c r="J38" s="17" t="str">
        <x:f>IF(COUNT($E38:$F38)&lt;2,"",IF(AND(J$6&gt;=$E38,J$6&lt;=$F38),"■",""))</x:f>
      </x:c>
      <x:c r="K38" s="17" t="str">
        <x:f>IF(COUNT($E38:$F38)&lt;2,"",IF(AND(K$6&gt;=$E38,K$6&lt;=$F38),"■",""))</x:f>
        <x:v>■</x:v>
      </x:c>
      <x:c r="L38" s="17" t="str">
        <x:f>IF(COUNT($E38:$F38)&lt;2,"",IF(AND(L$6&gt;=$E38,L$6&lt;=$F38),"■",""))</x:f>
      </x:c>
      <x:c r="M38" s="17" t="str">
        <x:f>IF(COUNT($E38:$F38)&lt;2,"",IF(AND(M$6&gt;=$E38,M$6&lt;=$F38),"■",""))</x:f>
      </x:c>
      <x:c r="N38" s="17" t="str">
        <x:f>IF(COUNT($E38:$F38)&lt;2,"",IF(AND(N$6&gt;=$E38,N$6&lt;=$F38),"■",""))</x:f>
      </x:c>
      <x:c r="O38" s="9" t="str">
        <x:v>条件测试</x:v>
      </x:c>
      <x:c r="P38" s="9" t="str">
        <x:v>实际接收凭据与AC-10B记录</x:v>
      </x:c>
      <x:c r="Q38" s="19" t="n">
        <x:v>2</x:v>
      </x:c>
      <x:c r="R38" s="16" t="str">
        <x:v>R04</x:v>
      </x:c>
      <x:c r="S38" s="19" t="n">
        <x:f>SUM(Y38:AB38)</x:f>
        <x:v>20</x:v>
      </x:c>
      <x:c r="T38" s="12" t="n">
        <x:f>WORKDAY('项目总表'!$B$15-1,AL38)</x:f>
        <x:v>46345</x:v>
      </x:c>
      <x:c r="U38" s="12" t="n">
        <x:f>WORKDAY(T38-1,Q38)</x:f>
        <x:v>46346</x:v>
      </x:c>
      <x:c r="V38" s="9" t="str">
        <x:v>AC-10B</x:v>
      </x:c>
      <x:c r="W38" s="9" t="str">
        <x:v>计划受控真实交换验证；不填实际通过记录；按模块专长重新分工，测试部署成员兼工具及自动化开发</x:v>
      </x:c>
      <x:c r="X38" s="9" t="str">
        <x:v>仿真计划，未执行</x:v>
      </x:c>
      <x:c r="Y38" s="34" t="n">
        <x:f>AM38</x:f>
        <x:v>6</x:v>
      </x:c>
      <x:c r="Z38" s="34" t="n">
        <x:f>AN38</x:f>
        <x:v>10</x:v>
      </x:c>
      <x:c r="AA38" s="34" t="n">
        <x:f>AO38</x:f>
        <x:v>0</x:v>
      </x:c>
      <x:c r="AB38" s="34" t="n">
        <x:f>AP38</x:f>
        <x:v>4</x:v>
      </x:c>
      <x:c r="AC38" s="34" t="n">
        <x:f>Y38*'资源计划'!$F$8+Z38*'资源计划'!$F$9+AA38*'资源计划'!$F$10+AB38*'资源计划'!$F$11</x:f>
        <x:v>2160</x:v>
      </x:c>
      <x:c r="AD38" s="29" t="str">
        <x:v>高</x:v>
      </x:c>
      <x:c r="AE38" s="29" t="str">
        <x:v>计划受控真实交换验证；不填实际通过记录；按模块专长重新分工，测试部署成员兼工具及自动化开发</x:v>
      </x:c>
      <x:c r="AF38" s="29" t="str">
        <x:v>否</x:v>
      </x:c>
      <x:c r="AG38" s="33" t="n">
        <x:v>9</x:v>
      </x:c>
      <x:c r="AH38" s="33" t="n">
        <x:f>Y38/Q38</x:f>
        <x:v>3</x:v>
      </x:c>
      <x:c r="AI38" s="33" t="n">
        <x:f>Z38/Q38</x:f>
        <x:v>5</x:v>
      </x:c>
      <x:c r="AJ38" s="33" t="n">
        <x:f>AA38/Q38</x:f>
        <x:v>0</x:v>
      </x:c>
      <x:c r="AK38" s="33" t="n">
        <x:f>AB38/Q38</x:f>
        <x:v>2</x:v>
      </x:c>
      <x:c r="AL38" s="41" t="n">
        <x:v>24</x:v>
      </x:c>
      <x:c r="AM38" s="33" t="n">
        <x:v>6</x:v>
      </x:c>
      <x:c r="AN38" s="33" t="n">
        <x:v>10</x:v>
      </x:c>
      <x:c r="AO38" s="33" t="n">
        <x:v>0</x:v>
      </x:c>
      <x:c r="AP38" s="33" t="n">
        <x:v>4</x:v>
      </x:c>
    </x:row>
    <x:row r="39" ht="58" customHeight="1">
      <x:c r="A39" s="16" t="str">
        <x:v>T4.6</x:v>
      </x:c>
      <x:c r="B39" s="16" t="str">
        <x:v>验证安全、认证和并发一致性</x:v>
      </x:c>
      <x:c r="C39" s="16" t="str">
        <x:v>NFR-06～09, FR-01, FR-27, IF-02</x:v>
      </x:c>
      <x:c r="D39" s="16" t="str">
        <x:v>T4.2FS; T1.3FS</x:v>
      </x:c>
      <x:c r="E39" s="17" t="n">
        <x:f>INT((T39-'项目总表'!$B$15)/7)+1</x:f>
        <x:v>6</x:v>
      </x:c>
      <x:c r="F39" s="17" t="n">
        <x:f>INT((U39-'项目总表'!$B$15)/7)+1</x:f>
        <x:v>6</x:v>
      </x:c>
      <x:c r="G39" s="17" t="str">
        <x:f>IF(COUNT($E39:$F39)&lt;2,"",IF(AND(G$6&gt;=$E39,G$6&lt;=$F39),"■",""))</x:f>
      </x:c>
      <x:c r="H39" s="17" t="str">
        <x:f>IF(COUNT($E39:$F39)&lt;2,"",IF(AND(H$6&gt;=$E39,H$6&lt;=$F39),"■",""))</x:f>
      </x:c>
      <x:c r="I39" s="17" t="str">
        <x:f>IF(COUNT($E39:$F39)&lt;2,"",IF(AND(I$6&gt;=$E39,I$6&lt;=$F39),"■",""))</x:f>
      </x:c>
      <x:c r="J39" s="17" t="str">
        <x:f>IF(COUNT($E39:$F39)&lt;2,"",IF(AND(J$6&gt;=$E39,J$6&lt;=$F39),"■",""))</x:f>
      </x:c>
      <x:c r="K39" s="17" t="str">
        <x:f>IF(COUNT($E39:$F39)&lt;2,"",IF(AND(K$6&gt;=$E39,K$6&lt;=$F39),"■",""))</x:f>
      </x:c>
      <x:c r="L39" s="17" t="str">
        <x:f>IF(COUNT($E39:$F39)&lt;2,"",IF(AND(L$6&gt;=$E39,L$6&lt;=$F39),"■",""))</x:f>
        <x:v>■</x:v>
      </x:c>
      <x:c r="M39" s="17" t="str">
        <x:f>IF(COUNT($E39:$F39)&lt;2,"",IF(AND(M$6&gt;=$E39,M$6&lt;=$F39),"■",""))</x:f>
      </x:c>
      <x:c r="N39" s="17" t="str">
        <x:f>IF(COUNT($E39:$F39)&lt;2,"",IF(AND(N$6&gt;=$E39,N$6&lt;=$F39),"■",""))</x:f>
      </x:c>
      <x:c r="O39" s="9" t="str">
        <x:v>测试</x:v>
      </x:c>
      <x:c r="P39" s="9" t="str">
        <x:v>越权、漏洞、限流与并发证据</x:v>
      </x:c>
      <x:c r="Q39" s="19" t="n">
        <x:v>3</x:v>
      </x:c>
      <x:c r="R39" s="16" t="str">
        <x:v>R04</x:v>
      </x:c>
      <x:c r="S39" s="19" t="n">
        <x:f>SUM(Y39:AB39)</x:f>
        <x:v>28</x:v>
      </x:c>
      <x:c r="T39" s="12" t="n">
        <x:f>WORKDAY('项目总表'!$B$15-1,AL39)</x:f>
        <x:v>46351</x:v>
      </x:c>
      <x:c r="U39" s="12" t="n">
        <x:f>WORKDAY(T39-1,Q39)</x:f>
        <x:v>46353</x:v>
      </x:c>
      <x:c r="V39" s="9" t="str">
        <x:v>AC-05, AC-08, AC-09, AC-13</x:v>
      </x:c>
      <x:c r="W39" s="9" t="str">
        <x:v>QA制定用例，PM与后端分担鉴权和并发验证</x:v>
      </x:c>
      <x:c r="X39" s="9" t="str">
        <x:v>仿真计划，未执行</x:v>
      </x:c>
      <x:c r="Y39" s="34" t="n">
        <x:f>AM39</x:f>
        <x:v>10</x:v>
      </x:c>
      <x:c r="Z39" s="34" t="n">
        <x:f>AN39</x:f>
        <x:v>10</x:v>
      </x:c>
      <x:c r="AA39" s="34" t="n">
        <x:f>AO39</x:f>
        <x:v>0</x:v>
      </x:c>
      <x:c r="AB39" s="34" t="n">
        <x:f>AP39</x:f>
        <x:v>8</x:v>
      </x:c>
      <x:c r="AC39" s="34" t="n">
        <x:f>Y39*'资源计划'!$F$8+Z39*'资源计划'!$F$9+AA39*'资源计划'!$F$10+AB39*'资源计划'!$F$11</x:f>
        <x:v>2920</x:v>
      </x:c>
      <x:c r="AD39" s="29" t="str">
        <x:v>高</x:v>
      </x:c>
      <x:c r="AE39" s="29" t="str">
        <x:v>QA制定用例，PM与后端分担鉴权和并发验证</x:v>
      </x:c>
      <x:c r="AF39" s="29" t="str">
        <x:v>否</x:v>
      </x:c>
      <x:c r="AG39" s="33" t="n">
        <x:v>4</x:v>
      </x:c>
      <x:c r="AH39" s="33" t="n">
        <x:f>Y39/Q39</x:f>
        <x:v>3.3333333333333335</x:v>
      </x:c>
      <x:c r="AI39" s="33" t="n">
        <x:f>Z39/Q39</x:f>
        <x:v>3.3333333333333335</x:v>
      </x:c>
      <x:c r="AJ39" s="33" t="n">
        <x:f>AA39/Q39</x:f>
        <x:v>0</x:v>
      </x:c>
      <x:c r="AK39" s="33" t="n">
        <x:f>AB39/Q39</x:f>
        <x:v>2.6666666666666665</x:v>
      </x:c>
      <x:c r="AL39" s="41" t="n">
        <x:v>28</x:v>
      </x:c>
      <x:c r="AM39" s="33" t="n">
        <x:v>10</x:v>
      </x:c>
      <x:c r="AN39" s="33" t="n">
        <x:v>10</x:v>
      </x:c>
      <x:c r="AO39" s="33" t="n">
        <x:v>0</x:v>
      </x:c>
      <x:c r="AP39" s="33" t="n">
        <x:v>8</x:v>
      </x:c>
    </x:row>
    <x:row r="40" ht="58" customHeight="1">
      <x:c r="A40" s="16" t="str">
        <x:v>T4.7</x:v>
      </x:c>
      <x:c r="B40" s="16" t="str">
        <x:v>执行容量、性能与导出测试</x:v>
      </x:c>
      <x:c r="C40" s="16" t="str">
        <x:v>NFR-01～03</x:v>
      </x:c>
      <x:c r="D40" s="16" t="str">
        <x:v>T4.2FS; T1.3FS</x:v>
      </x:c>
      <x:c r="E40" s="17" t="n">
        <x:f>INT((T40-'项目总表'!$B$15)/7)+1</x:f>
        <x:v>6</x:v>
      </x:c>
      <x:c r="F40" s="17" t="n">
        <x:f>INT((U40-'项目总表'!$B$15)/7)+1</x:f>
        <x:v>6</x:v>
      </x:c>
      <x:c r="G40" s="17" t="str">
        <x:f>IF(COUNT($E40:$F40)&lt;2,"",IF(AND(G$6&gt;=$E40,G$6&lt;=$F40),"■",""))</x:f>
      </x:c>
      <x:c r="H40" s="17" t="str">
        <x:f>IF(COUNT($E40:$F40)&lt;2,"",IF(AND(H$6&gt;=$E40,H$6&lt;=$F40),"■",""))</x:f>
      </x:c>
      <x:c r="I40" s="17" t="str">
        <x:f>IF(COUNT($E40:$F40)&lt;2,"",IF(AND(I$6&gt;=$E40,I$6&lt;=$F40),"■",""))</x:f>
      </x:c>
      <x:c r="J40" s="17" t="str">
        <x:f>IF(COUNT($E40:$F40)&lt;2,"",IF(AND(J$6&gt;=$E40,J$6&lt;=$F40),"■",""))</x:f>
      </x:c>
      <x:c r="K40" s="17" t="str">
        <x:f>IF(COUNT($E40:$F40)&lt;2,"",IF(AND(K$6&gt;=$E40,K$6&lt;=$F40),"■",""))</x:f>
      </x:c>
      <x:c r="L40" s="17" t="str">
        <x:f>IF(COUNT($E40:$F40)&lt;2,"",IF(AND(L$6&gt;=$E40,L$6&lt;=$F40),"■",""))</x:f>
        <x:v>■</x:v>
      </x:c>
      <x:c r="M40" s="17" t="str">
        <x:f>IF(COUNT($E40:$F40)&lt;2,"",IF(AND(M$6&gt;=$E40,M$6&lt;=$F40),"■",""))</x:f>
      </x:c>
      <x:c r="N40" s="17" t="str">
        <x:f>IF(COUNT($E40:$F40)&lt;2,"",IF(AND(N$6&gt;=$E40,N$6&lt;=$F40),"■",""))</x:f>
      </x:c>
      <x:c r="O40" s="9" t="str">
        <x:v>测试</x:v>
      </x:c>
      <x:c r="P40" s="9" t="str">
        <x:v>负载、P95、成功率和导出报告</x:v>
      </x:c>
      <x:c r="Q40" s="19" t="n">
        <x:v>3</x:v>
      </x:c>
      <x:c r="R40" s="16" t="str">
        <x:v>R04</x:v>
      </x:c>
      <x:c r="S40" s="19" t="n">
        <x:f>SUM(Y40:AB40)</x:f>
        <x:v>24</x:v>
      </x:c>
      <x:c r="T40" s="12" t="n">
        <x:f>WORKDAY('项目总表'!$B$15-1,AL40)</x:f>
        <x:v>46351</x:v>
      </x:c>
      <x:c r="U40" s="12" t="n">
        <x:f>WORKDAY(T40-1,Q40)</x:f>
        <x:v>46353</x:v>
      </x:c>
      <x:c r="V40" s="9" t="str">
        <x:v>AC-11</x:v>
      </x:c>
      <x:c r="W40" s="9" t="str">
        <x:v>独立负载机、合成60万月报与200并发</x:v>
      </x:c>
      <x:c r="X40" s="9" t="str">
        <x:v>仿真计划，未执行</x:v>
      </x:c>
      <x:c r="Y40" s="34" t="n">
        <x:f>AM40</x:f>
        <x:v>0</x:v>
      </x:c>
      <x:c r="Z40" s="34" t="n">
        <x:f>AN40</x:f>
        <x:v>8</x:v>
      </x:c>
      <x:c r="AA40" s="34" t="n">
        <x:f>AO40</x:f>
        <x:v>8</x:v>
      </x:c>
      <x:c r="AB40" s="34" t="n">
        <x:f>AP40</x:f>
        <x:v>8</x:v>
      </x:c>
      <x:c r="AC40" s="34" t="n">
        <x:f>Y40*'资源计划'!$F$8+Z40*'资源计划'!$F$9+AA40*'资源计划'!$F$10+AB40*'资源计划'!$F$11</x:f>
        <x:v>2480</x:v>
      </x:c>
      <x:c r="AD40" s="29" t="str">
        <x:v>高</x:v>
      </x:c>
      <x:c r="AE40" s="29" t="str">
        <x:v>独立负载机、合成60万月报与200并发</x:v>
      </x:c>
      <x:c r="AF40" s="29" t="str">
        <x:v>否</x:v>
      </x:c>
      <x:c r="AG40" s="33" t="n">
        <x:v>4</x:v>
      </x:c>
      <x:c r="AH40" s="33" t="n">
        <x:f>Y40/Q40</x:f>
        <x:v>0</x:v>
      </x:c>
      <x:c r="AI40" s="33" t="n">
        <x:f>Z40/Q40</x:f>
        <x:v>2.6666666666666665</x:v>
      </x:c>
      <x:c r="AJ40" s="33" t="n">
        <x:f>AA40/Q40</x:f>
        <x:v>2.6666666666666665</x:v>
      </x:c>
      <x:c r="AK40" s="33" t="n">
        <x:f>AB40/Q40</x:f>
        <x:v>2.6666666666666665</x:v>
      </x:c>
      <x:c r="AL40" s="41" t="n">
        <x:v>28</x:v>
      </x:c>
      <x:c r="AM40" s="33" t="n">
        <x:v>0</x:v>
      </x:c>
      <x:c r="AN40" s="33" t="n">
        <x:v>8</x:v>
      </x:c>
      <x:c r="AO40" s="33" t="n">
        <x:v>8</x:v>
      </x:c>
      <x:c r="AP40" s="33" t="n">
        <x:v>8</x:v>
      </x:c>
    </x:row>
    <x:row r="41" ht="58" customHeight="1">
      <x:c r="A41" s="16" t="str">
        <x:v>T4.8</x:v>
      </x:c>
      <x:c r="B41" s="16" t="str">
        <x:v>验证备份恢复与72小时运行</x:v>
      </x:c>
      <x:c r="C41" s="16" t="str">
        <x:v>NFR-04, NFR-05</x:v>
      </x:c>
      <x:c r="D41" s="16" t="str">
        <x:v>T4.2FS; T3.19FS</x:v>
      </x:c>
      <x:c r="E41" s="17" t="n">
        <x:f>INT((T41-'项目总表'!$B$15)/7)+1</x:f>
        <x:v>6</x:v>
      </x:c>
      <x:c r="F41" s="17" t="n">
        <x:f>INT((U41-'项目总表'!$B$15)/7)+1</x:f>
        <x:v>7</x:v>
      </x:c>
      <x:c r="G41" s="17" t="str">
        <x:f>IF(COUNT($E41:$F41)&lt;2,"",IF(AND(G$6&gt;=$E41,G$6&lt;=$F41),"■",""))</x:f>
      </x:c>
      <x:c r="H41" s="17" t="str">
        <x:f>IF(COUNT($E41:$F41)&lt;2,"",IF(AND(H$6&gt;=$E41,H$6&lt;=$F41),"■",""))</x:f>
      </x:c>
      <x:c r="I41" s="17" t="str">
        <x:f>IF(COUNT($E41:$F41)&lt;2,"",IF(AND(I$6&gt;=$E41,I$6&lt;=$F41),"■",""))</x:f>
      </x:c>
      <x:c r="J41" s="17" t="str">
        <x:f>IF(COUNT($E41:$F41)&lt;2,"",IF(AND(J$6&gt;=$E41,J$6&lt;=$F41),"■",""))</x:f>
      </x:c>
      <x:c r="K41" s="17" t="str">
        <x:f>IF(COUNT($E41:$F41)&lt;2,"",IF(AND(K$6&gt;=$E41,K$6&lt;=$F41),"■",""))</x:f>
      </x:c>
      <x:c r="L41" s="17" t="str">
        <x:f>IF(COUNT($E41:$F41)&lt;2,"",IF(AND(L$6&gt;=$E41,L$6&lt;=$F41),"■",""))</x:f>
        <x:v>■</x:v>
      </x:c>
      <x:c r="M41" s="17" t="str">
        <x:f>IF(COUNT($E41:$F41)&lt;2,"",IF(AND(M$6&gt;=$E41,M$6&lt;=$F41),"■",""))</x:f>
        <x:v>■</x:v>
      </x:c>
      <x:c r="N41" s="17" t="str">
        <x:f>IF(COUNT($E41:$F41)&lt;2,"",IF(AND(N$6&gt;=$E41,N$6&lt;=$F41),"■",""))</x:f>
      </x:c>
      <x:c r="O41" s="9" t="str">
        <x:v>测试</x:v>
      </x:c>
      <x:c r="P41" s="9" t="str">
        <x:v>恢复、重启与72小时运行记录</x:v>
      </x:c>
      <x:c r="Q41" s="19" t="n">
        <x:v>4</x:v>
      </x:c>
      <x:c r="R41" s="16" t="str">
        <x:v>R04</x:v>
      </x:c>
      <x:c r="S41" s="19" t="n">
        <x:f>SUM(Y41:AB41)</x:f>
        <x:v>16</x:v>
      </x:c>
      <x:c r="T41" s="12" t="n">
        <x:f>WORKDAY('项目总表'!$B$15-1,AL41)</x:f>
        <x:v>46353</x:v>
      </x:c>
      <x:c r="U41" s="12" t="n">
        <x:f>WORKDAY(T41-1,Q41)</x:f>
        <x:v>46358</x:v>
      </x:c>
      <x:c r="V41" s="9" t="str">
        <x:v>AC-12</x:v>
      </x:c>
      <x:c r="W41" s="9" t="str">
        <x:v>4工作日覆盖不少于72自然小时，自动监测；人时只计配置、观察和恢复演练</x:v>
      </x:c>
      <x:c r="X41" s="9" t="str">
        <x:v>仿真计划，未执行</x:v>
      </x:c>
      <x:c r="Y41" s="34" t="n">
        <x:f>AM41</x:f>
        <x:v>4</x:v>
      </x:c>
      <x:c r="Z41" s="34" t="n">
        <x:f>AN41</x:f>
        <x:v>4</x:v>
      </x:c>
      <x:c r="AA41" s="34" t="n">
        <x:f>AO41</x:f>
        <x:v>0</x:v>
      </x:c>
      <x:c r="AB41" s="34" t="n">
        <x:f>AP41</x:f>
        <x:v>8</x:v>
      </x:c>
      <x:c r="AC41" s="34" t="n">
        <x:f>Y41*'资源计划'!$F$8+Z41*'资源计划'!$F$9+AA41*'资源计划'!$F$10+AB41*'资源计划'!$F$11</x:f>
        <x:v>1600</x:v>
      </x:c>
      <x:c r="AD41" s="29" t="str">
        <x:v>高</x:v>
      </x:c>
      <x:c r="AE41" s="29" t="str">
        <x:v>4工作日覆盖不少于72自然小时，自动监测；人时只计配置、观察和恢复演练</x:v>
      </x:c>
      <x:c r="AF41" s="29" t="str">
        <x:v>否</x:v>
      </x:c>
      <x:c r="AG41" s="33" t="n">
        <x:v>1</x:v>
      </x:c>
      <x:c r="AH41" s="33" t="n">
        <x:f>Y41/Q41</x:f>
        <x:v>1</x:v>
      </x:c>
      <x:c r="AI41" s="33" t="n">
        <x:f>Z41/Q41</x:f>
        <x:v>1</x:v>
      </x:c>
      <x:c r="AJ41" s="33" t="n">
        <x:f>AA41/Q41</x:f>
        <x:v>0</x:v>
      </x:c>
      <x:c r="AK41" s="33" t="n">
        <x:f>AB41/Q41</x:f>
        <x:v>2</x:v>
      </x:c>
      <x:c r="AL41" s="41" t="n">
        <x:v>30</x:v>
      </x:c>
      <x:c r="AM41" s="33" t="n">
        <x:v>4</x:v>
      </x:c>
      <x:c r="AN41" s="33" t="n">
        <x:v>4</x:v>
      </x:c>
      <x:c r="AO41" s="33" t="n">
        <x:v>0</x:v>
      </x:c>
      <x:c r="AP41" s="33" t="n">
        <x:v>8</x:v>
      </x:c>
    </x:row>
    <x:row r="42" ht="58" customHeight="1">
      <x:c r="A42" s="16" t="str">
        <x:v>T4.9</x:v>
      </x:c>
      <x:c r="B42" s="16" t="str">
        <x:v>验证兼容、部署与监控</x:v>
      </x:c>
      <x:c r="C42" s="16" t="str">
        <x:v>NFR-10, NFR-11, IF-04</x:v>
      </x:c>
      <x:c r="D42" s="16" t="str">
        <x:v>T4.2FS; T3.16FS; T3.19FS</x:v>
      </x:c>
      <x:c r="E42" s="17" t="n">
        <x:f>INT((T42-'项目总表'!$B$15)/7)+1</x:f>
        <x:v>6</x:v>
      </x:c>
      <x:c r="F42" s="17" t="n">
        <x:f>INT((U42-'项目总表'!$B$15)/7)+1</x:f>
        <x:v>6</x:v>
      </x:c>
      <x:c r="G42" s="17" t="str">
        <x:f>IF(COUNT($E42:$F42)&lt;2,"",IF(AND(G$6&gt;=$E42,G$6&lt;=$F42),"■",""))</x:f>
      </x:c>
      <x:c r="H42" s="17" t="str">
        <x:f>IF(COUNT($E42:$F42)&lt;2,"",IF(AND(H$6&gt;=$E42,H$6&lt;=$F42),"■",""))</x:f>
      </x:c>
      <x:c r="I42" s="17" t="str">
        <x:f>IF(COUNT($E42:$F42)&lt;2,"",IF(AND(I$6&gt;=$E42,I$6&lt;=$F42),"■",""))</x:f>
      </x:c>
      <x:c r="J42" s="17" t="str">
        <x:f>IF(COUNT($E42:$F42)&lt;2,"",IF(AND(J$6&gt;=$E42,J$6&lt;=$F42),"■",""))</x:f>
      </x:c>
      <x:c r="K42" s="17" t="str">
        <x:f>IF(COUNT($E42:$F42)&lt;2,"",IF(AND(K$6&gt;=$E42,K$6&lt;=$F42),"■",""))</x:f>
      </x:c>
      <x:c r="L42" s="17" t="str">
        <x:f>IF(COUNT($E42:$F42)&lt;2,"",IF(AND(L$6&gt;=$E42,L$6&lt;=$F42),"■",""))</x:f>
        <x:v>■</x:v>
      </x:c>
      <x:c r="M42" s="17" t="str">
        <x:f>IF(COUNT($E42:$F42)&lt;2,"",IF(AND(M$6&gt;=$E42,M$6&lt;=$F42),"■",""))</x:f>
      </x:c>
      <x:c r="N42" s="17" t="str">
        <x:f>IF(COUNT($E42:$F42)&lt;2,"",IF(AND(N$6&gt;=$E42,N$6&lt;=$F42),"■",""))</x:f>
      </x:c>
      <x:c r="O42" s="9" t="str">
        <x:v>测试</x:v>
      </x:c>
      <x:c r="P42" s="9" t="str">
        <x:v>浏览器、表格软件和部署证据</x:v>
      </x:c>
      <x:c r="Q42" s="19" t="n">
        <x:v>2</x:v>
      </x:c>
      <x:c r="R42" s="16" t="str">
        <x:v>R04</x:v>
      </x:c>
      <x:c r="S42" s="19" t="n">
        <x:f>SUM(Y42:AB42)</x:f>
        <x:v>16</x:v>
      </x:c>
      <x:c r="T42" s="12" t="n">
        <x:f>WORKDAY('项目总表'!$B$15-1,AL42)</x:f>
        <x:v>46351</x:v>
      </x:c>
      <x:c r="U42" s="12" t="n">
        <x:f>WORKDAY(T42-1,Q42)</x:f>
        <x:v>46352</x:v>
      </x:c>
      <x:c r="V42" s="9" t="str">
        <x:v>AC-14</x:v>
      </x:c>
      <x:c r="W42" s="9" t="str">
        <x:v>兼容、导出、部署和实际监控证据</x:v>
      </x:c>
      <x:c r="X42" s="9" t="str">
        <x:v>仿真计划，未执行</x:v>
      </x:c>
      <x:c r="Y42" s="34" t="n">
        <x:f>AM42</x:f>
        <x:v>0</x:v>
      </x:c>
      <x:c r="Z42" s="34" t="n">
        <x:f>AN42</x:f>
        <x:v>4</x:v>
      </x:c>
      <x:c r="AA42" s="34" t="n">
        <x:f>AO42</x:f>
        <x:v>8</x:v>
      </x:c>
      <x:c r="AB42" s="34" t="n">
        <x:f>AP42</x:f>
        <x:v>4</x:v>
      </x:c>
      <x:c r="AC42" s="34" t="n">
        <x:f>Y42*'资源计划'!$F$8+Z42*'资源计划'!$F$9+AA42*'资源计划'!$F$10+AB42*'资源计划'!$F$11</x:f>
        <x:v>1640</x:v>
      </x:c>
      <x:c r="AD42" s="29" t="str">
        <x:v>中</x:v>
      </x:c>
      <x:c r="AE42" s="29" t="str">
        <x:v>兼容、导出、部署和实际监控证据</x:v>
      </x:c>
      <x:c r="AF42" s="29" t="str">
        <x:v>否</x:v>
      </x:c>
      <x:c r="AG42" s="33" t="n">
        <x:v>5</x:v>
      </x:c>
      <x:c r="AH42" s="33" t="n">
        <x:f>Y42/Q42</x:f>
        <x:v>0</x:v>
      </x:c>
      <x:c r="AI42" s="33" t="n">
        <x:f>Z42/Q42</x:f>
        <x:v>2</x:v>
      </x:c>
      <x:c r="AJ42" s="33" t="n">
        <x:f>AA42/Q42</x:f>
        <x:v>4</x:v>
      </x:c>
      <x:c r="AK42" s="33" t="n">
        <x:f>AB42/Q42</x:f>
        <x:v>2</x:v>
      </x:c>
      <x:c r="AL42" s="41" t="n">
        <x:v>28</x:v>
      </x:c>
      <x:c r="AM42" s="33" t="n">
        <x:v>0</x:v>
      </x:c>
      <x:c r="AN42" s="33" t="n">
        <x:v>4</x:v>
      </x:c>
      <x:c r="AO42" s="33" t="n">
        <x:v>8</x:v>
      </x:c>
      <x:c r="AP42" s="33" t="n">
        <x:v>4</x:v>
      </x:c>
    </x:row>
    <x:row r="43" ht="58" customHeight="1">
      <x:c r="A43" s="16" t="str">
        <x:v>T4.10</x:v>
      </x:c>
      <x:c r="B43" s="16" t="str">
        <x:v>修复缺陷并复核需求覆盖</x:v>
      </x:c>
      <x:c r="C43" s="16" t="str">
        <x:v>FR-01～28, NFR-01～11, IF-01～04</x:v>
      </x:c>
      <x:c r="D43" s="16" t="str">
        <x:v>T4.3FS; T4.4FS; T4.6FS; T4.7FS; T4.8FS; T4.9FS; T4.5FS</x:v>
      </x:c>
      <x:c r="E43" s="17" t="n">
        <x:f>INT((T43-'项目总表'!$B$15)/7)+1</x:f>
        <x:v>7</x:v>
      </x:c>
      <x:c r="F43" s="17" t="n">
        <x:f>INT((U43-'项目总表'!$B$15)/7)+1</x:f>
        <x:v>8</x:v>
      </x:c>
      <x:c r="G43" s="17" t="str">
        <x:f>IF(COUNT($E43:$F43)&lt;2,"",IF(AND(G$6&gt;=$E43,G$6&lt;=$F43),"■",""))</x:f>
      </x:c>
      <x:c r="H43" s="17" t="str">
        <x:f>IF(COUNT($E43:$F43)&lt;2,"",IF(AND(H$6&gt;=$E43,H$6&lt;=$F43),"■",""))</x:f>
      </x:c>
      <x:c r="I43" s="17" t="str">
        <x:f>IF(COUNT($E43:$F43)&lt;2,"",IF(AND(I$6&gt;=$E43,I$6&lt;=$F43),"■",""))</x:f>
      </x:c>
      <x:c r="J43" s="17" t="str">
        <x:f>IF(COUNT($E43:$F43)&lt;2,"",IF(AND(J$6&gt;=$E43,J$6&lt;=$F43),"■",""))</x:f>
      </x:c>
      <x:c r="K43" s="17" t="str">
        <x:f>IF(COUNT($E43:$F43)&lt;2,"",IF(AND(K$6&gt;=$E43,K$6&lt;=$F43),"■",""))</x:f>
      </x:c>
      <x:c r="L43" s="17" t="str">
        <x:f>IF(COUNT($E43:$F43)&lt;2,"",IF(AND(L$6&gt;=$E43,L$6&lt;=$F43),"■",""))</x:f>
      </x:c>
      <x:c r="M43" s="17" t="str">
        <x:f>IF(COUNT($E43:$F43)&lt;2,"",IF(AND(M$6&gt;=$E43,M$6&lt;=$F43),"■",""))</x:f>
        <x:v>■</x:v>
      </x:c>
      <x:c r="N43" s="17" t="str">
        <x:f>IF(COUNT($E43:$F43)&lt;2,"",IF(AND(N$6&gt;=$E43,N$6&lt;=$F43),"■",""))</x:f>
        <x:v>■</x:v>
      </x:c>
      <x:c r="O43" s="9" t="str">
        <x:v>修复回归</x:v>
      </x:c>
      <x:c r="P43" s="9" t="str">
        <x:v>缺陷修复、回归与未执行项记录</x:v>
      </x:c>
      <x:c r="Q43" s="19" t="n">
        <x:v>3</x:v>
      </x:c>
      <x:c r="R43" s="16" t="str">
        <x:v>R02</x:v>
      </x:c>
      <x:c r="S43" s="19" t="n">
        <x:f>SUM(Y43:AB43)</x:f>
        <x:v>56</x:v>
      </x:c>
      <x:c r="T43" s="12" t="n">
        <x:f>WORKDAY('项目总表'!$B$15-1,AL43)</x:f>
        <x:v>46359</x:v>
      </x:c>
      <x:c r="U43" s="12" t="n">
        <x:f>WORKDAY(T43-1,Q43)</x:f>
        <x:v>46363</x:v>
      </x:c>
      <x:c r="V43" s="9" t="str">
        <x:v>AC-01～14</x:v>
      </x:c>
      <x:c r="W43" s="9" t="str">
        <x:v>按既有模块预留56人时修复与全量回归</x:v>
      </x:c>
      <x:c r="X43" s="9" t="str">
        <x:v>仿真计划，未执行</x:v>
      </x:c>
      <x:c r="Y43" s="34" t="n">
        <x:f>AM43</x:f>
        <x:v>10</x:v>
      </x:c>
      <x:c r="Z43" s="34" t="n">
        <x:f>AN43</x:f>
        <x:v>16</x:v>
      </x:c>
      <x:c r="AA43" s="34" t="n">
        <x:f>AO43</x:f>
        <x:v>16</x:v>
      </x:c>
      <x:c r="AB43" s="34" t="n">
        <x:f>AP43</x:f>
        <x:v>14</x:v>
      </x:c>
      <x:c r="AC43" s="34" t="n">
        <x:f>Y43*'资源计划'!$F$8+Z43*'资源计划'!$F$9+AA43*'资源计划'!$F$10+AB43*'资源计划'!$F$11</x:f>
        <x:v>5780</x:v>
      </x:c>
      <x:c r="AD43" s="29" t="str">
        <x:v>高</x:v>
      </x:c>
      <x:c r="AE43" s="29" t="str">
        <x:v>按既有模块预留56人时修复与全量回归</x:v>
      </x:c>
      <x:c r="AF43" s="29" t="str">
        <x:v>否</x:v>
      </x:c>
      <x:c r="AG43" s="33" t="n">
        <x:v>1</x:v>
      </x:c>
      <x:c r="AH43" s="33" t="n">
        <x:f>Y43/Q43</x:f>
        <x:v>3.3333333333333335</x:v>
      </x:c>
      <x:c r="AI43" s="33" t="n">
        <x:f>Z43/Q43</x:f>
        <x:v>5.333333333333333</x:v>
      </x:c>
      <x:c r="AJ43" s="33" t="n">
        <x:f>AA43/Q43</x:f>
        <x:v>5.333333333333333</x:v>
      </x:c>
      <x:c r="AK43" s="33" t="n">
        <x:f>AB43/Q43</x:f>
        <x:v>4.666666666666667</x:v>
      </x:c>
      <x:c r="AL43" s="41" t="n">
        <x:v>34</x:v>
      </x:c>
      <x:c r="AM43" s="33" t="n">
        <x:v>10</x:v>
      </x:c>
      <x:c r="AN43" s="33" t="n">
        <x:v>16</x:v>
      </x:c>
      <x:c r="AO43" s="33" t="n">
        <x:v>16</x:v>
      </x:c>
      <x:c r="AP43" s="33" t="n">
        <x:v>14</x:v>
      </x:c>
    </x:row>
    <x:row r="44" ht="58" customHeight="1">
      <x:c r="A44" s="16" t="str">
        <x:v>T5.1</x:v>
      </x:c>
      <x:c r="B44" s="16" t="str">
        <x:v>部署拟定试运行环境</x:v>
      </x:c>
      <x:c r="C44" s="16" t="str">
        <x:v>NFR-11</x:v>
      </x:c>
      <x:c r="D44" s="16" t="str">
        <x:v>T4.2SS; T3.19FS</x:v>
      </x:c>
      <x:c r="E44" s="17" t="n">
        <x:f>INT((T44-'项目总表'!$B$15)/7)+1</x:f>
        <x:v>6</x:v>
      </x:c>
      <x:c r="F44" s="17" t="n">
        <x:f>INT((U44-'项目总表'!$B$15)/7)+1</x:f>
        <x:v>6</x:v>
      </x:c>
      <x:c r="G44" s="17" t="str">
        <x:f>IF(COUNT($E44:$F44)&lt;2,"",IF(AND(G$6&gt;=$E44,G$6&lt;=$F44),"■",""))</x:f>
      </x:c>
      <x:c r="H44" s="17" t="str">
        <x:f>IF(COUNT($E44:$F44)&lt;2,"",IF(AND(H$6&gt;=$E44,H$6&lt;=$F44),"■",""))</x:f>
      </x:c>
      <x:c r="I44" s="17" t="str">
        <x:f>IF(COUNT($E44:$F44)&lt;2,"",IF(AND(I$6&gt;=$E44,I$6&lt;=$F44),"■",""))</x:f>
      </x:c>
      <x:c r="J44" s="17" t="str">
        <x:f>IF(COUNT($E44:$F44)&lt;2,"",IF(AND(J$6&gt;=$E44,J$6&lt;=$F44),"■",""))</x:f>
      </x:c>
      <x:c r="K44" s="17" t="str">
        <x:f>IF(COUNT($E44:$F44)&lt;2,"",IF(AND(K$6&gt;=$E44,K$6&lt;=$F44),"■",""))</x:f>
      </x:c>
      <x:c r="L44" s="17" t="str">
        <x:f>IF(COUNT($E44:$F44)&lt;2,"",IF(AND(L$6&gt;=$E44,L$6&lt;=$F44),"■",""))</x:f>
        <x:v>■</x:v>
      </x:c>
      <x:c r="M44" s="17" t="str">
        <x:f>IF(COUNT($E44:$F44)&lt;2,"",IF(AND(M$6&gt;=$E44,M$6&lt;=$F44),"■",""))</x:f>
      </x:c>
      <x:c r="N44" s="17" t="str">
        <x:f>IF(COUNT($E44:$F44)&lt;2,"",IF(AND(N$6&gt;=$E44,N$6&lt;=$F44),"■",""))</x:f>
      </x:c>
      <x:c r="O44" s="9" t="str">
        <x:v>部署</x:v>
      </x:c>
      <x:c r="P44" s="9" t="str">
        <x:v>部署配置、迁移与回滚记录</x:v>
      </x:c>
      <x:c r="Q44" s="19" t="n">
        <x:v>2</x:v>
      </x:c>
      <x:c r="R44" s="16" t="str">
        <x:v>R01</x:v>
      </x:c>
      <x:c r="S44" s="19" t="n">
        <x:f>SUM(Y44:AB44)</x:f>
        <x:v>16</x:v>
      </x:c>
      <x:c r="T44" s="12" t="n">
        <x:f>WORKDAY('项目总表'!$B$15-1,AL44)</x:f>
        <x:v>46349</x:v>
      </x:c>
      <x:c r="U44" s="12" t="n">
        <x:f>WORKDAY(T44-1,Q44)</x:f>
        <x:v>46350</x:v>
      </x:c>
      <x:c r="V44" s="9" t="str">
        <x:v>AC-14</x:v>
      </x:c>
      <x:c r="W44" s="9" t="str">
        <x:v>仿真独立试运行环境与部署窗口；按模块专长重新分工，测试部署成员兼工具及自动化开发；已确认SRS接口后先交付内部接口骨架，模块重叠编码；集成和验收等待全部相关模块完成</x:v>
      </x:c>
      <x:c r="X44" s="9" t="str">
        <x:v>仿真计划，未执行</x:v>
      </x:c>
      <x:c r="Y44" s="34" t="n">
        <x:f>AM44</x:f>
        <x:v>6</x:v>
      </x:c>
      <x:c r="Z44" s="34" t="n">
        <x:f>AN44</x:f>
        <x:v>4</x:v>
      </x:c>
      <x:c r="AA44" s="34" t="n">
        <x:f>AO44</x:f>
        <x:v>0</x:v>
      </x:c>
      <x:c r="AB44" s="34" t="n">
        <x:f>AP44</x:f>
        <x:v>6</x:v>
      </x:c>
      <x:c r="AC44" s="34" t="n">
        <x:f>Y44*'资源计划'!$F$8+Z44*'资源计划'!$F$9+AA44*'资源计划'!$F$10+AB44*'资源计划'!$F$11</x:f>
        <x:v>1620</x:v>
      </x:c>
      <x:c r="AD44" s="29" t="str">
        <x:v>中</x:v>
      </x:c>
      <x:c r="AE44" s="29" t="str">
        <x:v>仿真独立试运行环境与部署窗口；按模块专长重新分工，测试部署成员兼工具及自动化开发；已确认SRS接口后先交付内部接口骨架，模块重叠编码；集成和验收等待全部相关模块完成</x:v>
      </x:c>
      <x:c r="AF44" s="29" t="str">
        <x:v>否</x:v>
      </x:c>
      <x:c r="AG44" s="33" t="n">
        <x:v>10</x:v>
      </x:c>
      <x:c r="AH44" s="33" t="n">
        <x:f>Y44/Q44</x:f>
        <x:v>3</x:v>
      </x:c>
      <x:c r="AI44" s="33" t="n">
        <x:f>Z44/Q44</x:f>
        <x:v>2</x:v>
      </x:c>
      <x:c r="AJ44" s="33" t="n">
        <x:f>AA44/Q44</x:f>
        <x:v>0</x:v>
      </x:c>
      <x:c r="AK44" s="33" t="n">
        <x:f>AB44/Q44</x:f>
        <x:v>3</x:v>
      </x:c>
      <x:c r="AL44" s="41" t="n">
        <x:v>26</x:v>
      </x:c>
      <x:c r="AM44" s="33" t="n">
        <x:v>6</x:v>
      </x:c>
      <x:c r="AN44" s="33" t="n">
        <x:v>4</x:v>
      </x:c>
      <x:c r="AO44" s="33" t="n">
        <x:v>0</x:v>
      </x:c>
      <x:c r="AP44" s="33" t="n">
        <x:v>6</x:v>
      </x:c>
    </x:row>
    <x:row r="45" ht="58" customHeight="1">
      <x:c r="A45" s="16" t="str">
        <x:v>T5.2</x:v>
      </x:c>
      <x:c r="B45" s="16" t="str">
        <x:v>安排业务试运行与反馈</x:v>
      </x:c>
      <x:c r="C45" s="16" t="str">
        <x:v>FR-01～28</x:v>
      </x:c>
      <x:c r="D45" s="16" t="str">
        <x:v>T4.10FS; T5.1FS</x:v>
      </x:c>
      <x:c r="E45" s="17" t="n">
        <x:f>INT((T45-'项目总表'!$B$15)/7)+1</x:f>
        <x:v>8</x:v>
      </x:c>
      <x:c r="F45" s="17" t="n">
        <x:f>INT((U45-'项目总表'!$B$15)/7)+1</x:f>
        <x:v>8</x:v>
      </x:c>
      <x:c r="G45" s="17" t="str">
        <x:f>IF(COUNT($E45:$F45)&lt;2,"",IF(AND(G$6&gt;=$E45,G$6&lt;=$F45),"■",""))</x:f>
      </x:c>
      <x:c r="H45" s="17" t="str">
        <x:f>IF(COUNT($E45:$F45)&lt;2,"",IF(AND(H$6&gt;=$E45,H$6&lt;=$F45),"■",""))</x:f>
      </x:c>
      <x:c r="I45" s="17" t="str">
        <x:f>IF(COUNT($E45:$F45)&lt;2,"",IF(AND(I$6&gt;=$E45,I$6&lt;=$F45),"■",""))</x:f>
      </x:c>
      <x:c r="J45" s="17" t="str">
        <x:f>IF(COUNT($E45:$F45)&lt;2,"",IF(AND(J$6&gt;=$E45,J$6&lt;=$F45),"■",""))</x:f>
      </x:c>
      <x:c r="K45" s="17" t="str">
        <x:f>IF(COUNT($E45:$F45)&lt;2,"",IF(AND(K$6&gt;=$E45,K$6&lt;=$F45),"■",""))</x:f>
      </x:c>
      <x:c r="L45" s="17" t="str">
        <x:f>IF(COUNT($E45:$F45)&lt;2,"",IF(AND(L$6&gt;=$E45,L$6&lt;=$F45),"■",""))</x:f>
      </x:c>
      <x:c r="M45" s="17" t="str">
        <x:f>IF(COUNT($E45:$F45)&lt;2,"",IF(AND(M$6&gt;=$E45,M$6&lt;=$F45),"■",""))</x:f>
      </x:c>
      <x:c r="N45" s="17" t="str">
        <x:f>IF(COUNT($E45:$F45)&lt;2,"",IF(AND(N$6&gt;=$E45,N$6&lt;=$F45),"■",""))</x:f>
        <x:v>■</x:v>
      </x:c>
      <x:c r="O45" s="9" t="str">
        <x:v>试运行</x:v>
      </x:c>
      <x:c r="P45" s="9" t="str">
        <x:v>试运行记录与反馈处理</x:v>
      </x:c>
      <x:c r="Q45" s="19" t="n">
        <x:v>2</x:v>
      </x:c>
      <x:c r="R45" s="16" t="str">
        <x:v>R01</x:v>
      </x:c>
      <x:c r="S45" s="19" t="n">
        <x:f>SUM(Y45:AB45)</x:f>
        <x:v>18</x:v>
      </x:c>
      <x:c r="T45" s="12" t="n">
        <x:f>WORKDAY('项目总表'!$B$15-1,AL45)</x:f>
        <x:v>46364</x:v>
      </x:c>
      <x:c r="U45" s="12" t="n">
        <x:f>WORKDAY(T45-1,Q45)</x:f>
        <x:v>46365</x:v>
      </x:c>
      <x:c r="V45" s="9" t="str">
        <x:v>试运行评审</x:v>
      </x:c>
      <x:c r="W45" s="9" t="str">
        <x:v>用合成数据模拟业务试运行和反馈</x:v>
      </x:c>
      <x:c r="X45" s="9" t="str">
        <x:v>仿真计划，未执行</x:v>
      </x:c>
      <x:c r="Y45" s="34" t="n">
        <x:f>AM45</x:f>
        <x:v>6</x:v>
      </x:c>
      <x:c r="Z45" s="34" t="n">
        <x:f>AN45</x:f>
        <x:v>2</x:v>
      </x:c>
      <x:c r="AA45" s="34" t="n">
        <x:f>AO45</x:f>
        <x:v>4</x:v>
      </x:c>
      <x:c r="AB45" s="34" t="n">
        <x:f>AP45</x:f>
        <x:v>6</x:v>
      </x:c>
      <x:c r="AC45" s="34" t="n">
        <x:f>Y45*'资源计划'!$F$8+Z45*'资源计划'!$F$9+AA45*'资源计划'!$F$10+AB45*'资源计划'!$F$11</x:f>
        <x:v>1780</x:v>
      </x:c>
      <x:c r="AD45" s="29" t="str">
        <x:v>中</x:v>
      </x:c>
      <x:c r="AE45" s="29" t="str">
        <x:v>用合成数据模拟业务试运行和反馈</x:v>
      </x:c>
      <x:c r="AF45" s="29" t="str">
        <x:v>否</x:v>
      </x:c>
      <x:c r="AG45" s="33" t="n">
        <x:v>1</x:v>
      </x:c>
      <x:c r="AH45" s="33" t="n">
        <x:f>Y45/Q45</x:f>
        <x:v>3</x:v>
      </x:c>
      <x:c r="AI45" s="33" t="n">
        <x:f>Z45/Q45</x:f>
        <x:v>1</x:v>
      </x:c>
      <x:c r="AJ45" s="33" t="n">
        <x:f>AA45/Q45</x:f>
        <x:v>2</x:v>
      </x:c>
      <x:c r="AK45" s="33" t="n">
        <x:f>AB45/Q45</x:f>
        <x:v>3</x:v>
      </x:c>
      <x:c r="AL45" s="41" t="n">
        <x:v>37</x:v>
      </x:c>
      <x:c r="AM45" s="33" t="n">
        <x:v>6</x:v>
      </x:c>
      <x:c r="AN45" s="33" t="n">
        <x:v>2</x:v>
      </x:c>
      <x:c r="AO45" s="33" t="n">
        <x:v>4</x:v>
      </x:c>
      <x:c r="AP45" s="33" t="n">
        <x:v>6</x:v>
      </x:c>
    </x:row>
    <x:row r="46" ht="58" customHeight="1">
      <x:c r="A46" s="16" t="str">
        <x:v>T5.3</x:v>
      </x:c>
      <x:c r="B46" s="16" t="str">
        <x:v>编写操作与开发维护说明</x:v>
      </x:c>
      <x:c r="C46" s="16" t="str">
        <x:v>NFR-11</x:v>
      </x:c>
      <x:c r="D46" s="16" t="str">
        <x:v>T4.1FS; T1.3FS</x:v>
      </x:c>
      <x:c r="E46" s="17" t="n">
        <x:f>INT((T46-'项目总表'!$B$15)/7)+1</x:f>
        <x:v>7</x:v>
      </x:c>
      <x:c r="F46" s="17" t="n">
        <x:f>INT((U46-'项目总表'!$B$15)/7)+1</x:f>
        <x:v>7</x:v>
      </x:c>
      <x:c r="G46" s="17" t="str">
        <x:f>IF(COUNT($E46:$F46)&lt;2,"",IF(AND(G$6&gt;=$E46,G$6&lt;=$F46),"■",""))</x:f>
      </x:c>
      <x:c r="H46" s="17" t="str">
        <x:f>IF(COUNT($E46:$F46)&lt;2,"",IF(AND(H$6&gt;=$E46,H$6&lt;=$F46),"■",""))</x:f>
      </x:c>
      <x:c r="I46" s="17" t="str">
        <x:f>IF(COUNT($E46:$F46)&lt;2,"",IF(AND(I$6&gt;=$E46,I$6&lt;=$F46),"■",""))</x:f>
      </x:c>
      <x:c r="J46" s="17" t="str">
        <x:f>IF(COUNT($E46:$F46)&lt;2,"",IF(AND(J$6&gt;=$E46,J$6&lt;=$F46),"■",""))</x:f>
      </x:c>
      <x:c r="K46" s="17" t="str">
        <x:f>IF(COUNT($E46:$F46)&lt;2,"",IF(AND(K$6&gt;=$E46,K$6&lt;=$F46),"■",""))</x:f>
      </x:c>
      <x:c r="L46" s="17" t="str">
        <x:f>IF(COUNT($E46:$F46)&lt;2,"",IF(AND(L$6&gt;=$E46,L$6&lt;=$F46),"■",""))</x:f>
      </x:c>
      <x:c r="M46" s="17" t="str">
        <x:f>IF(COUNT($E46:$F46)&lt;2,"",IF(AND(M$6&gt;=$E46,M$6&lt;=$F46),"■",""))</x:f>
        <x:v>■</x:v>
      </x:c>
      <x:c r="N46" s="17" t="str">
        <x:f>IF(COUNT($E46:$F46)&lt;2,"",IF(AND(N$6&gt;=$E46,N$6&lt;=$F46),"■",""))</x:f>
      </x:c>
      <x:c r="O46" s="9" t="str">
        <x:v>交付准备</x:v>
      </x:c>
      <x:c r="P46" s="9" t="str">
        <x:v>企业、市、省和技术管理操作说明</x:v>
      </x:c>
      <x:c r="Q46" s="19" t="n">
        <x:v>4</x:v>
      </x:c>
      <x:c r="R46" s="16" t="str">
        <x:v>R01</x:v>
      </x:c>
      <x:c r="S46" s="19" t="n">
        <x:f>SUM(Y46:AB46)</x:f>
        <x:v>32</x:v>
      </x:c>
      <x:c r="T46" s="12" t="n">
        <x:f>WORKDAY('项目总表'!$B$15-1,AL46)</x:f>
        <x:v>46356</x:v>
      </x:c>
      <x:c r="U46" s="12" t="n">
        <x:f>WORKDAY(T46-1,Q46)</x:f>
        <x:v>46359</x:v>
      </x:c>
      <x:c r="V46" s="9" t="str">
        <x:v>文档评审</x:v>
      </x:c>
      <x:c r="W46" s="9" t="str">
        <x:v>四角色操作手册及维护说明</x:v>
      </x:c>
      <x:c r="X46" s="9" t="str">
        <x:v>仿真计划，未执行</x:v>
      </x:c>
      <x:c r="Y46" s="34" t="n">
        <x:f>AM46</x:f>
        <x:v>12</x:v>
      </x:c>
      <x:c r="Z46" s="34" t="n">
        <x:f>AN46</x:f>
        <x:v>4</x:v>
      </x:c>
      <x:c r="AA46" s="34" t="n">
        <x:f>AO46</x:f>
        <x:v>8</x:v>
      </x:c>
      <x:c r="AB46" s="34" t="n">
        <x:f>AP46</x:f>
        <x:v>8</x:v>
      </x:c>
      <x:c r="AC46" s="34" t="n">
        <x:f>Y46*'资源计划'!$F$8+Z46*'资源计划'!$F$9+AA46*'资源计划'!$F$10+AB46*'资源计划'!$F$11</x:f>
        <x:v>3200</x:v>
      </x:c>
      <x:c r="AD46" s="29" t="str">
        <x:v>中</x:v>
      </x:c>
      <x:c r="AE46" s="29" t="str">
        <x:v>四角色操作手册及维护说明</x:v>
      </x:c>
      <x:c r="AF46" s="29" t="str">
        <x:v>否</x:v>
      </x:c>
      <x:c r="AG46" s="33" t="n">
        <x:v>3</x:v>
      </x:c>
      <x:c r="AH46" s="33" t="n">
        <x:f>Y46/Q46</x:f>
        <x:v>3</x:v>
      </x:c>
      <x:c r="AI46" s="33" t="n">
        <x:f>Z46/Q46</x:f>
        <x:v>1</x:v>
      </x:c>
      <x:c r="AJ46" s="33" t="n">
        <x:f>AA46/Q46</x:f>
        <x:v>2</x:v>
      </x:c>
      <x:c r="AK46" s="33" t="n">
        <x:f>AB46/Q46</x:f>
        <x:v>2</x:v>
      </x:c>
      <x:c r="AL46" s="41" t="n">
        <x:v>31</x:v>
      </x:c>
      <x:c r="AM46" s="33" t="n">
        <x:v>12</x:v>
      </x:c>
      <x:c r="AN46" s="33" t="n">
        <x:v>4</x:v>
      </x:c>
      <x:c r="AO46" s="33" t="n">
        <x:v>8</x:v>
      </x:c>
      <x:c r="AP46" s="33" t="n">
        <x:v>8</x:v>
      </x:c>
    </x:row>
    <x:row r="47" ht="58" customHeight="1">
      <x:c r="A47" s="16" t="str">
        <x:v>T5.4</x:v>
      </x:c>
      <x:c r="B47" s="16" t="str">
        <x:v>安排操作培训与演示</x:v>
      </x:c>
      <x:c r="C47" s="16" t="str">
        <x:v>项目交付</x:v>
      </x:c>
      <x:c r="D47" s="16" t="str">
        <x:v>T4.10FS; T5.3FS</x:v>
      </x:c>
      <x:c r="E47" s="17" t="n">
        <x:f>INT((T47-'项目总表'!$B$15)/7)+1</x:f>
        <x:v>8</x:v>
      </x:c>
      <x:c r="F47" s="17" t="n">
        <x:f>INT((U47-'项目总表'!$B$15)/7)+1</x:f>
        <x:v>8</x:v>
      </x:c>
      <x:c r="G47" s="17" t="str">
        <x:f>IF(COUNT($E47:$F47)&lt;2,"",IF(AND(G$6&gt;=$E47,G$6&lt;=$F47),"■",""))</x:f>
      </x:c>
      <x:c r="H47" s="17" t="str">
        <x:f>IF(COUNT($E47:$F47)&lt;2,"",IF(AND(H$6&gt;=$E47,H$6&lt;=$F47),"■",""))</x:f>
      </x:c>
      <x:c r="I47" s="17" t="str">
        <x:f>IF(COUNT($E47:$F47)&lt;2,"",IF(AND(I$6&gt;=$E47,I$6&lt;=$F47),"■",""))</x:f>
      </x:c>
      <x:c r="J47" s="17" t="str">
        <x:f>IF(COUNT($E47:$F47)&lt;2,"",IF(AND(J$6&gt;=$E47,J$6&lt;=$F47),"■",""))</x:f>
      </x:c>
      <x:c r="K47" s="17" t="str">
        <x:f>IF(COUNT($E47:$F47)&lt;2,"",IF(AND(K$6&gt;=$E47,K$6&lt;=$F47),"■",""))</x:f>
      </x:c>
      <x:c r="L47" s="17" t="str">
        <x:f>IF(COUNT($E47:$F47)&lt;2,"",IF(AND(L$6&gt;=$E47,L$6&lt;=$F47),"■",""))</x:f>
      </x:c>
      <x:c r="M47" s="17" t="str">
        <x:f>IF(COUNT($E47:$F47)&lt;2,"",IF(AND(M$6&gt;=$E47,M$6&lt;=$F47),"■",""))</x:f>
      </x:c>
      <x:c r="N47" s="17" t="str">
        <x:f>IF(COUNT($E47:$F47)&lt;2,"",IF(AND(N$6&gt;=$E47,N$6&lt;=$F47),"■",""))</x:f>
        <x:v>■</x:v>
      </x:c>
      <x:c r="O47" s="9" t="str">
        <x:v>培训</x:v>
      </x:c>
      <x:c r="P47" s="9" t="str">
        <x:v>培训资料、演示与反馈</x:v>
      </x:c>
      <x:c r="Q47" s="19" t="n">
        <x:v>1</x:v>
      </x:c>
      <x:c r="R47" s="16" t="str">
        <x:v>R01</x:v>
      </x:c>
      <x:c r="S47" s="19" t="n">
        <x:f>SUM(Y47:AB47)</x:f>
        <x:v>8</x:v>
      </x:c>
      <x:c r="T47" s="12" t="n">
        <x:f>WORKDAY('项目总表'!$B$15-1,AL47)</x:f>
        <x:v>46366</x:v>
      </x:c>
      <x:c r="U47" s="12" t="n">
        <x:f>WORKDAY(T47-1,Q47)</x:f>
        <x:v>46366</x:v>
      </x:c>
      <x:c r="V47" s="9" t="str">
        <x:v>培训反馈</x:v>
      </x:c>
      <x:c r="W47" s="9" t="str">
        <x:v>一次远程培训演示，无实际参加记录</x:v>
      </x:c>
      <x:c r="X47" s="9" t="str">
        <x:v>仿真计划，未执行</x:v>
      </x:c>
      <x:c r="Y47" s="34" t="n">
        <x:f>AM47</x:f>
        <x:v>4</x:v>
      </x:c>
      <x:c r="Z47" s="34" t="n">
        <x:f>AN47</x:f>
        <x:v>0</x:v>
      </x:c>
      <x:c r="AA47" s="34" t="n">
        <x:f>AO47</x:f>
        <x:v>2</x:v>
      </x:c>
      <x:c r="AB47" s="34" t="n">
        <x:f>AP47</x:f>
        <x:v>2</x:v>
      </x:c>
      <x:c r="AC47" s="34" t="n">
        <x:f>Y47*'资源计划'!$F$8+Z47*'资源计划'!$F$9+AA47*'资源计划'!$F$10+AB47*'资源计划'!$F$11</x:f>
        <x:v>780</x:v>
      </x:c>
      <x:c r="AD47" s="29" t="str">
        <x:v>低</x:v>
      </x:c>
      <x:c r="AE47" s="29" t="str">
        <x:v>一次远程培训演示，无实际参加记录</x:v>
      </x:c>
      <x:c r="AF47" s="29" t="str">
        <x:v>是</x:v>
      </x:c>
      <x:c r="AG47" s="33" t="n">
        <x:v>0</x:v>
      </x:c>
      <x:c r="AH47" s="33" t="n">
        <x:f>Y47/Q47</x:f>
        <x:v>4</x:v>
      </x:c>
      <x:c r="AI47" s="33" t="n">
        <x:f>Z47/Q47</x:f>
        <x:v>0</x:v>
      </x:c>
      <x:c r="AJ47" s="33" t="n">
        <x:f>AA47/Q47</x:f>
        <x:v>2</x:v>
      </x:c>
      <x:c r="AK47" s="33" t="n">
        <x:f>AB47/Q47</x:f>
        <x:v>2</x:v>
      </x:c>
      <x:c r="AL47" s="41" t="n">
        <x:v>39</x:v>
      </x:c>
      <x:c r="AM47" s="33" t="n">
        <x:v>4</x:v>
      </x:c>
      <x:c r="AN47" s="33" t="n">
        <x:v>0</x:v>
      </x:c>
      <x:c r="AO47" s="33" t="n">
        <x:v>2</x:v>
      </x:c>
      <x:c r="AP47" s="33" t="n">
        <x:v>2</x:v>
      </x:c>
    </x:row>
    <x:row r="48" ht="58" customHeight="1">
      <x:c r="A48" s="16" t="str">
        <x:v>T5.5</x:v>
      </x:c>
      <x:c r="B48" s="16" t="str">
        <x:v>整理代码、配置和验证证据</x:v>
      </x:c>
      <x:c r="C48" s="16" t="str">
        <x:v>NFR-11, IF-01～04</x:v>
      </x:c>
      <x:c r="D48" s="16" t="str">
        <x:v>T4.10FS; T5.3FS</x:v>
      </x:c>
      <x:c r="E48" s="17" t="n">
        <x:f>INT((T48-'项目总表'!$B$15)/7)+1</x:f>
        <x:v>8</x:v>
      </x:c>
      <x:c r="F48" s="17" t="n">
        <x:f>INT((U48-'项目总表'!$B$15)/7)+1</x:f>
        <x:v>8</x:v>
      </x:c>
      <x:c r="G48" s="17" t="str">
        <x:f>IF(COUNT($E48:$F48)&lt;2,"",IF(AND(G$6&gt;=$E48,G$6&lt;=$F48),"■",""))</x:f>
      </x:c>
      <x:c r="H48" s="17" t="str">
        <x:f>IF(COUNT($E48:$F48)&lt;2,"",IF(AND(H$6&gt;=$E48,H$6&lt;=$F48),"■",""))</x:f>
      </x:c>
      <x:c r="I48" s="17" t="str">
        <x:f>IF(COUNT($E48:$F48)&lt;2,"",IF(AND(I$6&gt;=$E48,I$6&lt;=$F48),"■",""))</x:f>
      </x:c>
      <x:c r="J48" s="17" t="str">
        <x:f>IF(COUNT($E48:$F48)&lt;2,"",IF(AND(J$6&gt;=$E48,J$6&lt;=$F48),"■",""))</x:f>
      </x:c>
      <x:c r="K48" s="17" t="str">
        <x:f>IF(COUNT($E48:$F48)&lt;2,"",IF(AND(K$6&gt;=$E48,K$6&lt;=$F48),"■",""))</x:f>
      </x:c>
      <x:c r="L48" s="17" t="str">
        <x:f>IF(COUNT($E48:$F48)&lt;2,"",IF(AND(L$6&gt;=$E48,L$6&lt;=$F48),"■",""))</x:f>
      </x:c>
      <x:c r="M48" s="17" t="str">
        <x:f>IF(COUNT($E48:$F48)&lt;2,"",IF(AND(M$6&gt;=$E48,M$6&lt;=$F48),"■",""))</x:f>
      </x:c>
      <x:c r="N48" s="17" t="str">
        <x:f>IF(COUNT($E48:$F48)&lt;2,"",IF(AND(N$6&gt;=$E48,N$6&lt;=$F48),"■",""))</x:f>
        <x:v>■</x:v>
      </x:c>
      <x:c r="O48" s="9" t="str">
        <x:v>移交</x:v>
      </x:c>
      <x:c r="P48" s="9" t="str">
        <x:v>构建代码、运行脚本与证据包</x:v>
      </x:c>
      <x:c r="Q48" s="19" t="n">
        <x:v>2</x:v>
      </x:c>
      <x:c r="R48" s="16" t="str">
        <x:v>R04</x:v>
      </x:c>
      <x:c r="S48" s="19" t="n">
        <x:f>SUM(Y48:AB48)</x:f>
        <x:v>18</x:v>
      </x:c>
      <x:c r="T48" s="12" t="n">
        <x:f>WORKDAY('项目总表'!$B$15-1,AL48)</x:f>
        <x:v>46364</x:v>
      </x:c>
      <x:c r="U48" s="12" t="n">
        <x:f>WORKDAY(T48-1,Q48)</x:f>
        <x:v>46365</x:v>
      </x:c>
      <x:c r="V48" s="9" t="str">
        <x:v>SRS 9.5</x:v>
      </x:c>
      <x:c r="W48" s="9" t="str">
        <x:v>代码、配置、构建和证据包移交准备</x:v>
      </x:c>
      <x:c r="X48" s="9" t="str">
        <x:v>仿真计划，未执行</x:v>
      </x:c>
      <x:c r="Y48" s="34" t="n">
        <x:f>AM48</x:f>
        <x:v>4</x:v>
      </x:c>
      <x:c r="Z48" s="34" t="n">
        <x:f>AN48</x:f>
        <x:v>4</x:v>
      </x:c>
      <x:c r="AA48" s="34" t="n">
        <x:f>AO48</x:f>
        <x:v>2</x:v>
      </x:c>
      <x:c r="AB48" s="34" t="n">
        <x:f>AP48</x:f>
        <x:v>8</x:v>
      </x:c>
      <x:c r="AC48" s="34" t="n">
        <x:f>Y48*'资源计划'!$F$8+Z48*'资源计划'!$F$9+AA48*'资源计划'!$F$10+AB48*'资源计划'!$F$11</x:f>
        <x:v>1800</x:v>
      </x:c>
      <x:c r="AD48" s="29" t="str">
        <x:v>中</x:v>
      </x:c>
      <x:c r="AE48" s="29" t="str">
        <x:v>代码、配置、构建和证据包移交准备</x:v>
      </x:c>
      <x:c r="AF48" s="29" t="str">
        <x:v>否</x:v>
      </x:c>
      <x:c r="AG48" s="33" t="n">
        <x:v>1</x:v>
      </x:c>
      <x:c r="AH48" s="33" t="n">
        <x:f>Y48/Q48</x:f>
        <x:v>2</x:v>
      </x:c>
      <x:c r="AI48" s="33" t="n">
        <x:f>Z48/Q48</x:f>
        <x:v>2</x:v>
      </x:c>
      <x:c r="AJ48" s="33" t="n">
        <x:f>AA48/Q48</x:f>
        <x:v>1</x:v>
      </x:c>
      <x:c r="AK48" s="33" t="n">
        <x:f>AB48/Q48</x:f>
        <x:v>4</x:v>
      </x:c>
      <x:c r="AL48" s="41" t="n">
        <x:v>37</x:v>
      </x:c>
      <x:c r="AM48" s="33" t="n">
        <x:v>4</x:v>
      </x:c>
      <x:c r="AN48" s="33" t="n">
        <x:v>4</x:v>
      </x:c>
      <x:c r="AO48" s="33" t="n">
        <x:v>2</x:v>
      </x:c>
      <x:c r="AP48" s="33" t="n">
        <x:v>8</x:v>
      </x:c>
    </x:row>
    <x:row r="49" ht="58" customHeight="1">
      <x:c r="A49" s="16" t="str">
        <x:v>T5.6</x:v>
      </x:c>
      <x:c r="B49" s="16" t="str">
        <x:v>完成最终项目验收</x:v>
      </x:c>
      <x:c r="C49" s="16" t="str">
        <x:v>FR-01～28, NFR-01～11, IF-01～04</x:v>
      </x:c>
      <x:c r="D49" s="16" t="str">
        <x:v>T5.2FS; T5.4FS; T5.5FS; T4.5FS</x:v>
      </x:c>
      <x:c r="E49" s="17" t="n">
        <x:f>INT((T49-'项目总表'!$B$15)/7)+1</x:f>
        <x:v>8</x:v>
      </x:c>
      <x:c r="F49" s="17" t="n">
        <x:f>INT((U49-'项目总表'!$B$15)/7)+1</x:f>
        <x:v>8</x:v>
      </x:c>
      <x:c r="G49" s="17" t="str">
        <x:f>IF(COUNT($E49:$F49)&lt;2,"",IF(AND(G$6&gt;=$E49,G$6&lt;=$F49),"■",""))</x:f>
      </x:c>
      <x:c r="H49" s="17" t="str">
        <x:f>IF(COUNT($E49:$F49)&lt;2,"",IF(AND(H$6&gt;=$E49,H$6&lt;=$F49),"■",""))</x:f>
      </x:c>
      <x:c r="I49" s="17" t="str">
        <x:f>IF(COUNT($E49:$F49)&lt;2,"",IF(AND(I$6&gt;=$E49,I$6&lt;=$F49),"■",""))</x:f>
      </x:c>
      <x:c r="J49" s="17" t="str">
        <x:f>IF(COUNT($E49:$F49)&lt;2,"",IF(AND(J$6&gt;=$E49,J$6&lt;=$F49),"■",""))</x:f>
      </x:c>
      <x:c r="K49" s="17" t="str">
        <x:f>IF(COUNT($E49:$F49)&lt;2,"",IF(AND(K$6&gt;=$E49,K$6&lt;=$F49),"■",""))</x:f>
      </x:c>
      <x:c r="L49" s="17" t="str">
        <x:f>IF(COUNT($E49:$F49)&lt;2,"",IF(AND(L$6&gt;=$E49,L$6&lt;=$F49),"■",""))</x:f>
      </x:c>
      <x:c r="M49" s="17" t="str">
        <x:f>IF(COUNT($E49:$F49)&lt;2,"",IF(AND(M$6&gt;=$E49,M$6&lt;=$F49),"■",""))</x:f>
      </x:c>
      <x:c r="N49" s="17" t="str">
        <x:f>IF(COUNT($E49:$F49)&lt;2,"",IF(AND(N$6&gt;=$E49,N$6&lt;=$F49),"■",""))</x:f>
        <x:v>■</x:v>
      </x:c>
      <x:c r="O49" s="9" t="str">
        <x:v>条件验收</x:v>
      </x:c>
      <x:c r="P49" s="9" t="str">
        <x:v>完整需求证据与实际交换接收凭据</x:v>
      </x:c>
      <x:c r="Q49" s="19" t="n">
        <x:v>1</x:v>
      </x:c>
      <x:c r="R49" s="16" t="str">
        <x:v>R01</x:v>
      </x:c>
      <x:c r="S49" s="19" t="n">
        <x:f>SUM(Y49:AB49)</x:f>
        <x:v>12</x:v>
      </x:c>
      <x:c r="T49" s="12" t="n">
        <x:f>WORKDAY('项目总表'!$B$15-1,AL49)</x:f>
        <x:v>46367</x:v>
      </x:c>
      <x:c r="U49" s="12" t="n">
        <x:f>WORKDAY(T49-1,Q49)</x:f>
        <x:v>46367</x:v>
      </x:c>
      <x:c r="V49" s="9" t="str">
        <x:v>SRS 9.4, AC-10B</x:v>
      </x:c>
      <x:c r="W49" s="9" t="str">
        <x:v>全范围验收评审，必须含AC-10B计划证据</x:v>
      </x:c>
      <x:c r="X49" s="9" t="str">
        <x:v>仿真计划，未执行</x:v>
      </x:c>
      <x:c r="Y49" s="34" t="n">
        <x:f>AM49</x:f>
        <x:v>4</x:v>
      </x:c>
      <x:c r="Z49" s="34" t="n">
        <x:f>AN49</x:f>
        <x:v>2</x:v>
      </x:c>
      <x:c r="AA49" s="34" t="n">
        <x:f>AO49</x:f>
        <x:v>2</x:v>
      </x:c>
      <x:c r="AB49" s="34" t="n">
        <x:f>AP49</x:f>
        <x:v>4</x:v>
      </x:c>
      <x:c r="AC49" s="34" t="n">
        <x:f>Y49*'资源计划'!$F$8+Z49*'资源计划'!$F$9+AA49*'资源计划'!$F$10+AB49*'资源计划'!$F$11</x:f>
        <x:v>1200</x:v>
      </x:c>
      <x:c r="AD49" s="29" t="str">
        <x:v>高</x:v>
      </x:c>
      <x:c r="AE49" s="29" t="str">
        <x:v>全范围验收评审，必须含AC-10B计划证据</x:v>
      </x:c>
      <x:c r="AF49" s="29" t="str">
        <x:v>是</x:v>
      </x:c>
      <x:c r="AG49" s="33" t="n">
        <x:v>0</x:v>
      </x:c>
      <x:c r="AH49" s="33" t="n">
        <x:f>Y49/Q49</x:f>
        <x:v>4</x:v>
      </x:c>
      <x:c r="AI49" s="33" t="n">
        <x:f>Z49/Q49</x:f>
        <x:v>2</x:v>
      </x:c>
      <x:c r="AJ49" s="33" t="n">
        <x:f>AA49/Q49</x:f>
        <x:v>2</x:v>
      </x:c>
      <x:c r="AK49" s="33" t="n">
        <x:f>AB49/Q49</x:f>
        <x:v>4</x:v>
      </x:c>
      <x:c r="AL49" s="41" t="n">
        <x:v>40</x:v>
      </x:c>
      <x:c r="AM49" s="33" t="n">
        <x:v>4</x:v>
      </x:c>
      <x:c r="AN49" s="33" t="n">
        <x:v>2</x:v>
      </x:c>
      <x:c r="AO49" s="33" t="n">
        <x:v>2</x:v>
      </x:c>
      <x:c r="AP49" s="33" t="n">
        <x:v>4</x:v>
      </x:c>
    </x:row>
    <x:row r="50" ht="58" customHeight="1">
      <x:c r="A50" s="16" t="str">
        <x:v>T5.7</x:v>
      </x:c>
      <x:c r="B50" s="16" t="str">
        <x:v>汇总8周模拟的最终项目计划</x:v>
      </x:c>
      <x:c r="C50" s="16" t="str">
        <x:v>项目管理</x:v>
      </x:c>
      <x:c r="D50" s="16" t="str">
        <x:v>T1.2FS; T2.5FS; T5.6SS</x:v>
      </x:c>
      <x:c r="E50" s="17" t="n">
        <x:f>INT((T50-'项目总表'!$B$15)/7)+1</x:f>
        <x:v>8</x:v>
      </x:c>
      <x:c r="F50" s="17" t="n">
        <x:f>INT((U50-'项目总表'!$B$15)/7)+1</x:f>
        <x:v>8</x:v>
      </x:c>
      <x:c r="G50" s="17" t="str">
        <x:f>IF(COUNT($E50:$F50)&lt;2,"",IF(AND(G$6&gt;=$E50,G$6&lt;=$F50),"■",""))</x:f>
      </x:c>
      <x:c r="H50" s="17" t="str">
        <x:f>IF(COUNT($E50:$F50)&lt;2,"",IF(AND(H$6&gt;=$E50,H$6&lt;=$F50),"■",""))</x:f>
      </x:c>
      <x:c r="I50" s="17" t="str">
        <x:f>IF(COUNT($E50:$F50)&lt;2,"",IF(AND(I$6&gt;=$E50,I$6&lt;=$F50),"■",""))</x:f>
      </x:c>
      <x:c r="J50" s="17" t="str">
        <x:f>IF(COUNT($E50:$F50)&lt;2,"",IF(AND(J$6&gt;=$E50,J$6&lt;=$F50),"■",""))</x:f>
      </x:c>
      <x:c r="K50" s="17" t="str">
        <x:f>IF(COUNT($E50:$F50)&lt;2,"",IF(AND(K$6&gt;=$E50,K$6&lt;=$F50),"■",""))</x:f>
      </x:c>
      <x:c r="L50" s="17" t="str">
        <x:f>IF(COUNT($E50:$F50)&lt;2,"",IF(AND(L$6&gt;=$E50,L$6&lt;=$F50),"■",""))</x:f>
      </x:c>
      <x:c r="M50" s="17" t="str">
        <x:f>IF(COUNT($E50:$F50)&lt;2,"",IF(AND(M$6&gt;=$E50,M$6&lt;=$F50),"■",""))</x:f>
      </x:c>
      <x:c r="N50" s="17" t="str">
        <x:f>IF(COUNT($E50:$F50)&lt;2,"",IF(AND(N$6&gt;=$E50,N$6&lt;=$F50),"■",""))</x:f>
        <x:v>■</x:v>
      </x:c>
      <x:c r="O50" s="9" t="str">
        <x:v>计划定稿</x:v>
      </x:c>
      <x:c r="P50" s="9" t="str">
        <x:v>完整项目计划与迭代说明</x:v>
      </x:c>
      <x:c r="Q50" s="19" t="n">
        <x:v>1</x:v>
      </x:c>
      <x:c r="R50" s="16" t="str">
        <x:v>R01</x:v>
      </x:c>
      <x:c r="S50" s="19" t="n">
        <x:f>SUM(Y50:AB50)</x:f>
        <x:v>8</x:v>
      </x:c>
      <x:c r="T50" s="12" t="n">
        <x:f>WORKDAY('项目总表'!$B$15-1,AL50)</x:f>
        <x:v>46367</x:v>
      </x:c>
      <x:c r="U50" s="12" t="n">
        <x:f>WORKDAY(T50-1,Q50)</x:f>
        <x:v>46367</x:v>
      </x:c>
      <x:c r="V50" s="9" t="str">
        <x:v>课堂大作业二</x:v>
      </x:c>
      <x:c r="W50" s="9" t="str">
        <x:v>项目经理和QA并行复核最终计划，与仿真验收安排同日定稿；不等待或虚构实际执行结果；已确认SRS接口后先交付内部接口骨架，模块重叠编码；集成和验收等待全部相关模块完成</x:v>
      </x:c>
      <x:c r="X50" s="9" t="str">
        <x:v>仿真计划，未执行</x:v>
      </x:c>
      <x:c r="Y50" s="34" t="n">
        <x:f>AM50</x:f>
        <x:v>4</x:v>
      </x:c>
      <x:c r="Z50" s="34" t="n">
        <x:f>AN50</x:f>
        <x:v>0</x:v>
      </x:c>
      <x:c r="AA50" s="34" t="n">
        <x:f>AO50</x:f>
        <x:v>0</x:v>
      </x:c>
      <x:c r="AB50" s="34" t="n">
        <x:f>AP50</x:f>
        <x:v>4</x:v>
      </x:c>
      <x:c r="AC50" s="34" t="n">
        <x:f>Y50*'资源计划'!$F$8+Z50*'资源计划'!$F$9+AA50*'资源计划'!$F$10+AB50*'资源计划'!$F$11</x:f>
        <x:v>760</x:v>
      </x:c>
      <x:c r="AD50" s="29" t="str">
        <x:v>中</x:v>
      </x:c>
      <x:c r="AE50" s="29" t="str">
        <x:v>项目经理和QA并行复核最终计划，与仿真验收安排同日定稿；不等待或虚构实际执行结果；已确认SRS接口后先交付内部接口骨架，模块重叠编码；集成和验收等待全部相关模块完成</x:v>
      </x:c>
      <x:c r="AF50" s="29" t="str">
        <x:v>是</x:v>
      </x:c>
      <x:c r="AG50" s="33" t="n">
        <x:v>0</x:v>
      </x:c>
      <x:c r="AH50" s="33" t="n">
        <x:f>Y50/Q50</x:f>
        <x:v>4</x:v>
      </x:c>
      <x:c r="AI50" s="33" t="n">
        <x:f>Z50/Q50</x:f>
        <x:v>0</x:v>
      </x:c>
      <x:c r="AJ50" s="33" t="n">
        <x:f>AA50/Q50</x:f>
        <x:v>0</x:v>
      </x:c>
      <x:c r="AK50" s="33" t="n">
        <x:f>AB50/Q50</x:f>
        <x:v>4</x:v>
      </x:c>
      <x:c r="AL50" s="41" t="n">
        <x:v>40</x:v>
      </x:c>
      <x:c r="AM50" s="33" t="n">
        <x:v>4</x:v>
      </x:c>
      <x:c r="AN50" s="33" t="n">
        <x:v>0</x:v>
      </x:c>
      <x:c r="AO50" s="33" t="n">
        <x:v>0</x:v>
      </x:c>
      <x:c r="AP50" s="33" t="n">
        <x:v>4</x:v>
      </x:c>
    </x:row>
    <x:row r="51" ht="3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</x:row>
  </x:sheetData>
  <x:dataValidations count="1">
    <x:dataValidation type="list" sqref="R7:R50">
      <x:formula1>"R01,R02,R03,R04,R05"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8799991607666" hidden="0" customWidth="1"/>
    <x:col min="2" max="2" width="9.380000114440918" hidden="0" customWidth="1"/>
    <x:col min="3" max="3" width="25" hidden="0" customWidth="1"/>
    <x:col min="4" max="4" width="33.75" hidden="0" customWidth="1"/>
    <x:col min="5" max="5" width="15" hidden="0" customWidth="1"/>
    <x:col min="6" max="6" width="14.380000114440918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12.5" hidden="0" customWidth="1"/>
    <x:col min="16" max="16" width="12.5" hidden="0" customWidth="1"/>
    <x:col min="17" max="17" width="21.25" hidden="0" customWidth="1"/>
    <x:col min="18" max="18" width="15" hidden="0" customWidth="1"/>
    <x:col min="19" max="19" width="50" hidden="0" customWidth="1"/>
  </x:cols>
  <x:sheetData>
    <x:row r="1" ht="3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6" t="str">
        <x:v>4人资源与逐日负荷计划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 ht="30" customHeight="1">
      <x:c r="A3" s="8" t="str">
        <x:v>R01–R04为4名明确仿真成员，R05停用。测试部署成员兼工具开发；无实际人员工时记录。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30" customHeight="1">
      <x:c r="A4" s="8" t="str">
        <x:v>分周投入由任务分配和日期计算；工作量合计、逐日负荷与每周40小时容量相互核对。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3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 ht="3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 ht="38" customHeight="1">
      <x:c r="A7" s="11" t="str">
        <x:v>启用（是/否）</x:v>
      </x:c>
      <x:c r="B7" s="11" t="str">
        <x:v>资源ID</x:v>
      </x:c>
      <x:c r="C7" s="11" t="str">
        <x:v>成员姓名</x:v>
      </x:c>
      <x:c r="D7" s="11" t="str">
        <x:v>仿真角色与分工</x:v>
      </x:c>
      <x:c r="E7" s="11" t="str">
        <x:v>每周可用人时</x:v>
      </x:c>
      <x:c r="F7" s="11" t="str">
        <x:v>费率（元/人时）</x:v>
      </x:c>
      <x:c r="G7" s="11" t="str">
        <x:v>W1人时</x:v>
      </x:c>
      <x:c r="H7" s="11" t="str">
        <x:v>W2人时</x:v>
      </x:c>
      <x:c r="I7" s="11" t="str">
        <x:v>W3人时</x:v>
      </x:c>
      <x:c r="J7" s="11" t="str">
        <x:v>W4人时</x:v>
      </x:c>
      <x:c r="K7" s="11" t="str">
        <x:v>W5人时</x:v>
      </x:c>
      <x:c r="L7" s="11" t="str">
        <x:v>W6人时</x:v>
      </x:c>
      <x:c r="M7" s="11" t="str">
        <x:v>W7人时</x:v>
      </x:c>
      <x:c r="N7" s="11" t="str">
        <x:v>W8人时</x:v>
      </x:c>
      <x:c r="O7" s="11" t="str">
        <x:v>总投入人时</x:v>
      </x:c>
      <x:c r="P7" s="11" t="str">
        <x:v>最大周投入</x:v>
      </x:c>
      <x:c r="Q7" s="11" t="str">
        <x:v>负荷提示</x:v>
      </x:c>
      <x:c r="R7" s="11" t="str">
        <x:v>任务工作量合计</x:v>
      </x:c>
      <x:c r="S7" s="11" t="str">
        <x:v>估算或身份说明</x:v>
      </x:c>
    </x:row>
    <x:row r="8" ht="65" customHeight="1">
      <x:c r="A8" s="9" t="str">
        <x:v>是</x:v>
      </x:c>
      <x:c r="B8" s="9" t="str">
        <x:v>R01</x:v>
      </x:c>
      <x:c r="C8" s="9" t="str">
        <x:v>刘显尘（仿真项目经理）</x:v>
      </x:c>
      <x:c r="D8" s="9" t="str">
        <x:v>项目经理、需求、架构及开发</x:v>
      </x:c>
      <x:c r="E8" s="19" t="n">
        <x:f>'项目总表'!$B$55*5</x:f>
        <x:v>40</x:v>
      </x:c>
      <x:c r="F8" s="20" t="n">
        <x:v>100</x:v>
      </x:c>
      <x:c r="G8" s="19" t="n">
        <x:f>SUMIFS($C$29:$C$68,$B$29:$B$68,1)</x:f>
        <x:v>36</x:v>
      </x:c>
      <x:c r="H8" s="19" t="n">
        <x:f>SUMIFS($C$29:$C$68,$B$29:$B$68,2)</x:f>
        <x:v>26.500000000000004</x:v>
      </x:c>
      <x:c r="I8" s="19" t="n">
        <x:f>SUMIFS($C$29:$C$68,$B$29:$B$68,3)</x:f>
        <x:v>27.5</x:v>
      </x:c>
      <x:c r="J8" s="19" t="n">
        <x:f>SUMIFS($C$29:$C$68,$B$29:$B$68,4)</x:f>
        <x:v>29</x:v>
      </x:c>
      <x:c r="K8" s="19" t="n">
        <x:f>SUMIFS($C$29:$C$68,$B$29:$B$68,5)</x:f>
        <x:v>30</x:v>
      </x:c>
      <x:c r="L8" s="19" t="n">
        <x:f>SUMIFS($C$29:$C$68,$B$29:$B$68,6)</x:f>
        <x:v>30.000000000000007</x:v>
      </x:c>
      <x:c r="M8" s="19" t="n">
        <x:f>SUMIFS($C$29:$C$68,$B$29:$B$68,7)</x:f>
        <x:v>34.66666666666667</x:v>
      </x:c>
      <x:c r="N8" s="19" t="n">
        <x:f>SUMIFS($C$29:$C$68,$B$29:$B$68,8)</x:f>
        <x:v>29.333333333333336</x:v>
      </x:c>
      <x:c r="O8" s="19" t="n">
        <x:f>IF(A8="否",0,IF(AND(A8="是",COUNT(G8:N8)=8),SUM(G8:N8),""))</x:f>
        <x:v>243.00000000000003</x:v>
      </x:c>
      <x:c r="P8" s="19" t="n">
        <x:f>IF(A8="否",0,IF(AND(A8="是",COUNT(G8:N8)=8),MAX(G8:N8),""))</x:f>
        <x:v>36</x:v>
      </x:c>
      <x:c r="Q8" s="9" t="str">
        <x:f>IF(A8="否","不计入",IF(A8&lt;&gt;"是","待确认启用",IF(COUNT(E8,P8)&lt;2,"待确认可用时间/投入",IF(P8&gt;E8,"超负荷，需调整","周负荷未超上限"))))</x:f>
        <x:v>周负荷未超上限</x:v>
      </x:c>
      <x:c r="R8" s="9" t="n">
        <x:f>SUM('任务与甘特'!Y7:Y50)</x:f>
        <x:v>243</x:v>
      </x:c>
      <x:c r="S8" s="9" t="str">
        <x:v>仿真角色和费率；真实成员身份未确认；不含间接分摊</x:v>
      </x:c>
    </x:row>
    <x:row r="9" ht="65" customHeight="1">
      <x:c r="A9" s="9" t="str">
        <x:v>是</x:v>
      </x:c>
      <x:c r="B9" s="9" t="str">
        <x:v>R02</x:v>
      </x:c>
      <x:c r="C9" s="9" t="str">
        <x:v>成员B（仿真后端）</x:v>
      </x:c>
      <x:c r="D9" s="9" t="str">
        <x:v>后端、数据模型、交换接口</x:v>
      </x:c>
      <x:c r="E9" s="19" t="n">
        <x:f>'项目总表'!$B$55*5</x:f>
        <x:v>40</x:v>
      </x:c>
      <x:c r="F9" s="20" t="n">
        <x:v>120</x:v>
      </x:c>
      <x:c r="G9" s="19" t="n">
        <x:f>SUMIFS($D$29:$D$68,$B$29:$B$68,1)</x:f>
        <x:v>30</x:v>
      </x:c>
      <x:c r="H9" s="19" t="n">
        <x:f>SUMIFS($D$29:$D$68,$B$29:$B$68,2)</x:f>
        <x:v>24.499999999999996</x:v>
      </x:c>
      <x:c r="I9" s="19" t="n">
        <x:f>SUMIFS($D$29:$D$68,$B$29:$B$68,3)</x:f>
        <x:v>30.5</x:v>
      </x:c>
      <x:c r="J9" s="19" t="n">
        <x:f>SUMIFS($D$29:$D$68,$B$29:$B$68,4)</x:f>
        <x:v>37.99999999999999</x:v>
      </x:c>
      <x:c r="K9" s="19" t="n">
        <x:f>SUMIFS($D$29:$D$68,$B$29:$B$68,5)</x:f>
        <x:v>30</x:v>
      </x:c>
      <x:c r="L9" s="19" t="n">
        <x:f>SUMIFS($D$29:$D$68,$B$29:$B$68,6)</x:f>
        <x:v>37</x:v>
      </x:c>
      <x:c r="M9" s="19" t="n">
        <x:f>SUMIFS($D$29:$D$68,$B$29:$B$68,7)</x:f>
        <x:v>25.666666666666664</x:v>
      </x:c>
      <x:c r="N9" s="19" t="n">
        <x:f>SUMIFS($D$29:$D$68,$B$29:$B$68,8)</x:f>
        <x:v>13.333333333333332</x:v>
      </x:c>
      <x:c r="O9" s="19" t="n">
        <x:f>IF(A9="否",0,IF(AND(A9="是",COUNT(G9:N9)=8),SUM(G9:N9),""))</x:f>
        <x:v>229</x:v>
      </x:c>
      <x:c r="P9" s="19" t="n">
        <x:f>IF(A9="否",0,IF(AND(A9="是",COUNT(G9:N9)=8),MAX(G9:N9),""))</x:f>
        <x:v>37.99999999999999</x:v>
      </x:c>
      <x:c r="Q9" s="9" t="str">
        <x:f>IF(A9="否","不计入",IF(A9&lt;&gt;"是","待确认启用",IF(COUNT(E9,P9)&lt;2,"待确认可用时间/投入",IF(P9&gt;E9,"超负荷，需调整","周负荷未超上限"))))</x:f>
        <x:v>周负荷未超上限</x:v>
      </x:c>
      <x:c r="R9" s="9" t="n">
        <x:f>SUM('任务与甘特'!Z7:Z50)</x:f>
        <x:v>229</x:v>
      </x:c>
      <x:c r="S9" s="9" t="str">
        <x:v>仿真角色和费率；真实成员身份未确认；不含间接分摊</x:v>
      </x:c>
    </x:row>
    <x:row r="10" ht="65" customHeight="1">
      <x:c r="A10" s="9" t="str">
        <x:v>是</x:v>
      </x:c>
      <x:c r="B10" s="9" t="str">
        <x:v>R03</x:v>
      </x:c>
      <x:c r="C10" s="9" t="str">
        <x:v>成员C（仿真前端）</x:v>
      </x:c>
      <x:c r="D10" s="9" t="str">
        <x:v>前端、图表、导出与兼容验证</x:v>
      </x:c>
      <x:c r="E10" s="19" t="n">
        <x:f>'项目总表'!$B$55*5</x:f>
        <x:v>40</x:v>
      </x:c>
      <x:c r="F10" s="20" t="n">
        <x:v>100</x:v>
      </x:c>
      <x:c r="G10" s="19" t="n">
        <x:f>SUMIFS($E$29:$E$68,$B$29:$B$68,1)</x:f>
        <x:v>16</x:v>
      </x:c>
      <x:c r="H10" s="19" t="n">
        <x:f>SUMIFS($E$29:$E$68,$B$29:$B$68,2)</x:f>
        <x:v>15.5</x:v>
      </x:c>
      <x:c r="I10" s="19" t="n">
        <x:f>SUMIFS($E$29:$E$68,$B$29:$B$68,3)</x:f>
        <x:v>29.5</x:v>
      </x:c>
      <x:c r="J10" s="19" t="n">
        <x:f>SUMIFS($E$29:$E$68,$B$29:$B$68,4)</x:f>
        <x:v>27.666666666666668</x:v>
      </x:c>
      <x:c r="K10" s="19" t="n">
        <x:f>SUMIFS($E$29:$E$68,$B$29:$B$68,5)</x:f>
        <x:v>27.333333333333332</x:v>
      </x:c>
      <x:c r="L10" s="19" t="n">
        <x:f>SUMIFS($E$29:$E$68,$B$29:$B$68,6)</x:f>
        <x:v>24</x:v>
      </x:c>
      <x:c r="M10" s="19" t="n">
        <x:f>SUMIFS($E$29:$E$68,$B$29:$B$68,7)</x:f>
        <x:v>26.666666666666664</x:v>
      </x:c>
      <x:c r="N10" s="19" t="n">
        <x:f>SUMIFS($E$29:$E$68,$B$29:$B$68,8)</x:f>
        <x:v>15.333333333333332</x:v>
      </x:c>
      <x:c r="O10" s="19" t="n">
        <x:f>IF(A10="否",0,IF(AND(A10="是",COUNT(G10:N10)=8),SUM(G10:N10),""))</x:f>
        <x:v>182</x:v>
      </x:c>
      <x:c r="P10" s="19" t="n">
        <x:f>IF(A10="否",0,IF(AND(A10="是",COUNT(G10:N10)=8),MAX(G10:N10),""))</x:f>
        <x:v>29.5</x:v>
      </x:c>
      <x:c r="Q10" s="9" t="str">
        <x:f>IF(A10="否","不计入",IF(A10&lt;&gt;"是","待确认启用",IF(COUNT(E10,P10)&lt;2,"待确认可用时间/投入",IF(P10&gt;E10,"超负荷，需调整","周负荷未超上限"))))</x:f>
        <x:v>周负荷未超上限</x:v>
      </x:c>
      <x:c r="R10" s="9" t="n">
        <x:f>SUM('任务与甘特'!AA7:AA50)</x:f>
        <x:v>182</x:v>
      </x:c>
      <x:c r="S10" s="9" t="str">
        <x:v>仿真角色和费率；真实成员身份未确认；不含间接分摊</x:v>
      </x:c>
    </x:row>
    <x:row r="11" ht="65" customHeight="1">
      <x:c r="A11" s="9" t="str">
        <x:v>是</x:v>
      </x:c>
      <x:c r="B11" s="9" t="str">
        <x:v>R04</x:v>
      </x:c>
      <x:c r="C11" s="9" t="str">
        <x:v>成员D（仿真测试部署）</x:v>
      </x:c>
      <x:c r="D11" s="9" t="str">
        <x:v>测试、质量、监控、部署及工具开发</x:v>
      </x:c>
      <x:c r="E11" s="19" t="n">
        <x:f>'项目总表'!$B$55*5</x:f>
        <x:v>40</x:v>
      </x:c>
      <x:c r="F11" s="20" t="n">
        <x:v>90</x:v>
      </x:c>
      <x:c r="G11" s="19" t="n">
        <x:f>SUMIFS($F$29:$F$68,$B$29:$B$68,1)</x:f>
        <x:v>34</x:v>
      </x:c>
      <x:c r="H11" s="19" t="n">
        <x:f>SUMIFS($F$29:$F$68,$B$29:$B$68,2)</x:f>
        <x:v>24.166666666666664</x:v>
      </x:c>
      <x:c r="I11" s="19" t="n">
        <x:f>SUMIFS($F$29:$F$68,$B$29:$B$68,3)</x:f>
        <x:v>12.833333333333332</x:v>
      </x:c>
      <x:c r="J11" s="19" t="n">
        <x:f>SUMIFS($F$29:$F$68,$B$29:$B$68,4)</x:f>
        <x:v>21.333333333333336</x:v>
      </x:c>
      <x:c r="K11" s="19" t="n">
        <x:f>SUMIFS($F$29:$F$68,$B$29:$B$68,5)</x:f>
        <x:v>30.666666666666664</x:v>
      </x:c>
      <x:c r="L11" s="19" t="n">
        <x:f>SUMIFS($F$29:$F$68,$B$29:$B$68,6)</x:f>
        <x:v>36</x:v>
      </x:c>
      <x:c r="M11" s="19" t="n">
        <x:f>SUMIFS($F$29:$F$68,$B$29:$B$68,7)</x:f>
        <x:v>35.333333333333336</x:v>
      </x:c>
      <x:c r="N11" s="19" t="n">
        <x:f>SUMIFS($F$29:$F$68,$B$29:$B$68,8)</x:f>
        <x:v>28.666666666666668</x:v>
      </x:c>
      <x:c r="O11" s="19" t="n">
        <x:f>IF(A11="否",0,IF(AND(A11="是",COUNT(G11:N11)=8),SUM(G11:N11),""))</x:f>
        <x:v>223</x:v>
      </x:c>
      <x:c r="P11" s="19" t="n">
        <x:f>IF(A11="否",0,IF(AND(A11="是",COUNT(G11:N11)=8),MAX(G11:N11),""))</x:f>
        <x:v>36</x:v>
      </x:c>
      <x:c r="Q11" s="9" t="str">
        <x:f>IF(A11="否","不计入",IF(A11&lt;&gt;"是","待确认启用",IF(COUNT(E11,P11)&lt;2,"待确认可用时间/投入",IF(P11&gt;E11,"超负荷，需调整","周负荷未超上限"))))</x:f>
        <x:v>周负荷未超上限</x:v>
      </x:c>
      <x:c r="R11" s="9" t="n">
        <x:f>SUM('任务与甘特'!AB7:AB50)</x:f>
        <x:v>223</x:v>
      </x:c>
      <x:c r="S11" s="9" t="str">
        <x:v>仿真角色和费率；真实成员身份未确认；不含间接分摊</x:v>
      </x:c>
    </x:row>
    <x:row r="12" ht="65" customHeight="1">
      <x:c r="A12" s="9" t="str">
        <x:v>否</x:v>
      </x:c>
      <x:c r="B12" s="9" t="str">
        <x:v>R05</x:v>
      </x:c>
      <x:c r="C12" s="9" t="str">
        <x:v>不启用</x:v>
      </x:c>
      <x:c r="D12" s="9" t="str">
        <x:v>不计入4人团队</x:v>
      </x:c>
      <x:c r="E12" s="19" t="n">
        <x:f>0</x:f>
        <x:v>0</x:v>
      </x:c>
      <x:c r="F12" s="20" t="n">
        <x:v>0</x:v>
      </x:c>
      <x:c r="G12" s="19" t="n">
        <x:f>0</x:f>
        <x:v>0</x:v>
      </x:c>
      <x:c r="H12" s="19" t="n">
        <x:f>0</x:f>
        <x:v>0</x:v>
      </x:c>
      <x:c r="I12" s="19" t="n">
        <x:f>0</x:f>
        <x:v>0</x:v>
      </x:c>
      <x:c r="J12" s="19" t="n">
        <x:f>0</x:f>
        <x:v>0</x:v>
      </x:c>
      <x:c r="K12" s="19" t="n">
        <x:f>0</x:f>
        <x:v>0</x:v>
      </x:c>
      <x:c r="L12" s="19" t="n">
        <x:f>0</x:f>
        <x:v>0</x:v>
      </x:c>
      <x:c r="M12" s="19" t="n">
        <x:f>0</x:f>
        <x:v>0</x:v>
      </x:c>
      <x:c r="N12" s="19" t="n">
        <x:f>0</x:f>
        <x:v>0</x:v>
      </x:c>
      <x:c r="O12" s="19" t="n">
        <x:f>IF(A12="否",0,IF(AND(A12="是",COUNT(G12:N12)=8),SUM(G12:N12),""))</x:f>
        <x:v>0</x:v>
      </x:c>
      <x:c r="P12" s="19" t="n">
        <x:f>IF(A12="否",0,IF(AND(A12="是",COUNT(G12:N12)=8),MAX(G12:N12),""))</x:f>
        <x:v>0</x:v>
      </x:c>
      <x:c r="Q12" s="9" t="str">
        <x:f>IF(A12="否","不计入",IF(A12&lt;&gt;"是","待确认启用",IF(COUNT(E12,P12)&lt;2,"待确认可用时间/投入",IF(P12&gt;E12,"超负荷，需调整","周负荷未超上限"))))</x:f>
        <x:v>不计入</x:v>
      </x:c>
      <x:c r="R12" s="9" t="n">
        <x:f>0</x:f>
        <x:v>0</x:v>
      </x:c>
      <x:c r="S12" s="9" t="str">
        <x:v>明确停用，全部人时及费用为0</x:v>
      </x:c>
    </x:row>
    <x:row r="13" ht="3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</x:row>
    <x:row r="14" ht="3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</x:row>
    <x:row r="15" ht="3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</x:row>
    <x:row r="16" ht="32" customHeight="1">
      <x:c r="A16" s="22" t="str">
        <x:v>资源安排说明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</x:row>
    <x:row r="17" ht="32" customHeight="1">
      <x:c r="A17" s="23" t="str">
        <x:v>角色：R01项目经理兼需求与开发、R02后端、R03前端、R04测试部署兼工具开发。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</x:row>
    <x:row r="18" ht="32" customHeight="1">
      <x:c r="A18" s="23" t="str">
        <x:v>团队：4人；费率为100/120/100/90元每人时，均为仿真设定。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</x:row>
    <x:row r="19" ht="32" customHeight="1">
      <x:c r="A19" s="23" t="str">
        <x:v>资源平衡：按每项任务参与人时/工期均匀分配；核验每天≤8h、每周≤40h，不安排人员加班。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</x:row>
    <x:row r="20" ht="32" customHeight="1">
      <x:c r="A20" s="23" t="str">
        <x:v>工作量：任务各成员分配合计与分周投入一致；未分配容量不能视为额外日历缓冲。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</x:row>
    <x:row r="21" ht="32" customHeight="1">
      <x:c r="A21" s="23" t="str">
        <x:v>日期和投入修改后须重新核验业务依赖及Project；实际假期和个人日程未确认。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</x:row>
    <x:row r="22" ht="3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</x:row>
    <x:row r="23" ht="3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</x:row>
    <x:row r="24" ht="3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</x:row>
    <x:row r="25" ht="3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</x:row>
    <x:row r="26" ht="3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</x:row>
    <x:row r="28" ht="42" customHeight="1">
      <x:c r="A28" s="31" t="str">
        <x:v>工作日</x:v>
      </x:c>
      <x:c r="B28" s="31" t="str">
        <x:v>周次</x:v>
      </x:c>
      <x:c r="C28" s="31" t="str">
        <x:v>R01人时</x:v>
      </x:c>
      <x:c r="D28" s="31" t="str">
        <x:v>R02人时</x:v>
      </x:c>
      <x:c r="E28" s="31" t="str">
        <x:v>R03人时</x:v>
      </x:c>
      <x:c r="F28" s="31" t="str">
        <x:v>R04人时</x:v>
      </x:c>
      <x:c r="G28" s="31" t="str">
        <x:v>团队人时</x:v>
      </x:c>
      <x:c r="H28" s="31" t="str">
        <x:v>逐日负荷</x:v>
      </x:c>
    </x:row>
    <x:row r="29" ht="58" customHeight="1">
      <x:c r="A29" s="42" t="n">
        <x:f>WORKDAY('项目总表'!$B$15-1,1)</x:f>
        <x:v>46314</x:v>
      </x:c>
      <x:c r="B29" s="29" t="n">
        <x:f>INT((A29-'项目总表'!$B$15)/7)+1</x:f>
        <x:v>1</x:v>
      </x:c>
      <x:c r="C29" s="33" t="n">
        <x:f>SUMIFS('任务与甘特'!$AH$7:$AH$50,'任务与甘特'!$T$7:$T$50,"&lt;="&amp;$A29,'任务与甘特'!$U$7:$U$50,"&gt;="&amp;$A29)</x:f>
        <x:v>8</x:v>
      </x:c>
      <x:c r="D29" s="33" t="n">
        <x:f>SUMIFS('任务与甘特'!$AI$7:$AI$50,'任务与甘特'!$T$7:$T$50,"&lt;="&amp;$A29,'任务与甘特'!$U$7:$U$50,"&gt;="&amp;$A29)</x:f>
        <x:v>4</x:v>
      </x:c>
      <x:c r="E29" s="33" t="n">
        <x:f>SUMIFS('任务与甘特'!$AJ$7:$AJ$50,'任务与甘特'!$T$7:$T$50,"&lt;="&amp;$A29,'任务与甘特'!$U$7:$U$50,"&gt;="&amp;$A29)</x:f>
        <x:v>4</x:v>
      </x:c>
      <x:c r="F29" s="33" t="n">
        <x:f>SUMIFS('任务与甘特'!$AK$7:$AK$50,'任务与甘特'!$T$7:$T$50,"&lt;="&amp;$A29,'任务与甘特'!$U$7:$U$50,"&gt;="&amp;$A29)</x:f>
        <x:v>4</x:v>
      </x:c>
      <x:c r="G29" s="33" t="n">
        <x:f>SUM(C29:F29)</x:f>
        <x:v>20</x:v>
      </x:c>
      <x:c r="H29" s="29" t="str">
        <x:f>IF(MAX(C29:F29)&gt;'项目总表'!$B$55+0.000001,"超负荷","未超上限")</x:f>
        <x:v>未超上限</x:v>
      </x:c>
    </x:row>
    <x:row r="30" ht="58" customHeight="1">
      <x:c r="A30" s="42" t="n">
        <x:f>WORKDAY('项目总表'!$B$15-1,2)</x:f>
        <x:v>46315</x:v>
      </x:c>
      <x:c r="B30" s="29" t="n">
        <x:f>INT((A30-'项目总表'!$B$15)/7)+1</x:f>
        <x:v>1</x:v>
      </x:c>
      <x:c r="C30" s="33" t="n">
        <x:f>SUMIFS('任务与甘特'!$AH$7:$AH$50,'任务与甘特'!$T$7:$T$50,"&lt;="&amp;$A30,'任务与甘特'!$U$7:$U$50,"&gt;="&amp;$A30)</x:f>
        <x:v>7.666666666666667</x:v>
      </x:c>
      <x:c r="D30" s="33" t="n">
        <x:f>SUMIFS('任务与甘特'!$AI$7:$AI$50,'任务与甘特'!$T$7:$T$50,"&lt;="&amp;$A30,'任务与甘特'!$U$7:$U$50,"&gt;="&amp;$A30)</x:f>
        <x:v>6</x:v>
      </x:c>
      <x:c r="E30" s="33" t="n">
        <x:f>SUMIFS('任务与甘特'!$AJ$7:$AJ$50,'任务与甘特'!$T$7:$T$50,"&lt;="&amp;$A30,'任务与甘特'!$U$7:$U$50,"&gt;="&amp;$A30)</x:f>
        <x:v>3</x:v>
      </x:c>
      <x:c r="F30" s="33" t="n">
        <x:f>SUMIFS('任务与甘特'!$AK$7:$AK$50,'任务与甘特'!$T$7:$T$50,"&lt;="&amp;$A30,'任务与甘特'!$U$7:$U$50,"&gt;="&amp;$A30)</x:f>
        <x:v>7.333333333333333</x:v>
      </x:c>
      <x:c r="G30" s="33" t="n">
        <x:f>SUM(C30:F30)</x:f>
        <x:v>24</x:v>
      </x:c>
      <x:c r="H30" s="29" t="str">
        <x:f>IF(MAX(C30:F30)&gt;'项目总表'!$B$55+0.000001,"超负荷","未超上限")</x:f>
        <x:v>未超上限</x:v>
      </x:c>
    </x:row>
    <x:row r="31" ht="58" customHeight="1">
      <x:c r="A31" s="42" t="n">
        <x:f>WORKDAY('项目总表'!$B$15-1,3)</x:f>
        <x:v>46316</x:v>
      </x:c>
      <x:c r="B31" s="29" t="n">
        <x:f>INT((A31-'项目总表'!$B$15)/7)+1</x:f>
        <x:v>1</x:v>
      </x:c>
      <x:c r="C31" s="33" t="n">
        <x:f>SUMIFS('任务与甘特'!$AH$7:$AH$50,'任务与甘特'!$T$7:$T$50,"&lt;="&amp;$A31,'任务与甘特'!$U$7:$U$50,"&gt;="&amp;$A31)</x:f>
        <x:v>7.666666666666667</x:v>
      </x:c>
      <x:c r="D31" s="33" t="n">
        <x:f>SUMIFS('任务与甘特'!$AI$7:$AI$50,'任务与甘特'!$T$7:$T$50,"&lt;="&amp;$A31,'任务与甘特'!$U$7:$U$50,"&gt;="&amp;$A31)</x:f>
        <x:v>6</x:v>
      </x:c>
      <x:c r="E31" s="33" t="n">
        <x:f>SUMIFS('任务与甘特'!$AJ$7:$AJ$50,'任务与甘特'!$T$7:$T$50,"&lt;="&amp;$A31,'任务与甘特'!$U$7:$U$50,"&gt;="&amp;$A31)</x:f>
        <x:v>3</x:v>
      </x:c>
      <x:c r="F31" s="33" t="n">
        <x:f>SUMIFS('任务与甘特'!$AK$7:$AK$50,'任务与甘特'!$T$7:$T$50,"&lt;="&amp;$A31,'任务与甘特'!$U$7:$U$50,"&gt;="&amp;$A31)</x:f>
        <x:v>7.333333333333333</x:v>
      </x:c>
      <x:c r="G31" s="33" t="n">
        <x:f>SUM(C31:F31)</x:f>
        <x:v>24</x:v>
      </x:c>
      <x:c r="H31" s="29" t="str">
        <x:f>IF(MAX(C31:F31)&gt;'项目总表'!$B$55+0.000001,"超负荷","未超上限")</x:f>
        <x:v>未超上限</x:v>
      </x:c>
    </x:row>
    <x:row r="32" ht="58" customHeight="1">
      <x:c r="A32" s="42" t="n">
        <x:f>WORKDAY('项目总表'!$B$15-1,4)</x:f>
        <x:v>46317</x:v>
      </x:c>
      <x:c r="B32" s="29" t="n">
        <x:f>INT((A32-'项目总表'!$B$15)/7)+1</x:f>
        <x:v>1</x:v>
      </x:c>
      <x:c r="C32" s="33" t="n">
        <x:f>SUMIFS('任务与甘特'!$AH$7:$AH$50,'任务与甘特'!$T$7:$T$50,"&lt;="&amp;$A32,'任务与甘特'!$U$7:$U$50,"&gt;="&amp;$A32)</x:f>
        <x:v>6.666666666666666</x:v>
      </x:c>
      <x:c r="D32" s="33" t="n">
        <x:f>SUMIFS('任务与甘特'!$AI$7:$AI$50,'任务与甘特'!$T$7:$T$50,"&lt;="&amp;$A32,'任务与甘特'!$U$7:$U$50,"&gt;="&amp;$A32)</x:f>
        <x:v>7</x:v>
      </x:c>
      <x:c r="E32" s="33" t="n">
        <x:f>SUMIFS('任务与甘特'!$AJ$7:$AJ$50,'任务与甘特'!$T$7:$T$50,"&lt;="&amp;$A32,'任务与甘特'!$U$7:$U$50,"&gt;="&amp;$A32)</x:f>
        <x:v>2</x:v>
      </x:c>
      <x:c r="F32" s="33" t="n">
        <x:f>SUMIFS('任务与甘特'!$AK$7:$AK$50,'任务与甘特'!$T$7:$T$50,"&lt;="&amp;$A32,'任务与甘特'!$U$7:$U$50,"&gt;="&amp;$A32)</x:f>
        <x:v>7.333333333333333</x:v>
      </x:c>
      <x:c r="G32" s="33" t="n">
        <x:f>SUM(C32:F32)</x:f>
        <x:v>23</x:v>
      </x:c>
      <x:c r="H32" s="29" t="str">
        <x:f>IF(MAX(C32:F32)&gt;'项目总表'!$B$55+0.000001,"超负荷","未超上限")</x:f>
        <x:v>未超上限</x:v>
      </x:c>
    </x:row>
    <x:row r="33" ht="58" customHeight="1">
      <x:c r="A33" s="42" t="n">
        <x:f>WORKDAY('项目总表'!$B$15-1,5)</x:f>
        <x:v>46318</x:v>
      </x:c>
      <x:c r="B33" s="29" t="n">
        <x:f>INT((A33-'项目总表'!$B$15)/7)+1</x:f>
        <x:v>1</x:v>
      </x:c>
      <x:c r="C33" s="33" t="n">
        <x:f>SUMIFS('任务与甘特'!$AH$7:$AH$50,'任务与甘特'!$T$7:$T$50,"&lt;="&amp;$A33,'任务与甘特'!$U$7:$U$50,"&gt;="&amp;$A33)</x:f>
        <x:v>6</x:v>
      </x:c>
      <x:c r="D33" s="33" t="n">
        <x:f>SUMIFS('任务与甘特'!$AI$7:$AI$50,'任务与甘特'!$T$7:$T$50,"&lt;="&amp;$A33,'任务与甘特'!$U$7:$U$50,"&gt;="&amp;$A33)</x:f>
        <x:v>7</x:v>
      </x:c>
      <x:c r="E33" s="33" t="n">
        <x:f>SUMIFS('任务与甘特'!$AJ$7:$AJ$50,'任务与甘特'!$T$7:$T$50,"&lt;="&amp;$A33,'任务与甘特'!$U$7:$U$50,"&gt;="&amp;$A33)</x:f>
        <x:v>4</x:v>
      </x:c>
      <x:c r="F33" s="33" t="n">
        <x:f>SUMIFS('任务与甘特'!$AK$7:$AK$50,'任务与甘特'!$T$7:$T$50,"&lt;="&amp;$A33,'任务与甘特'!$U$7:$U$50,"&gt;="&amp;$A33)</x:f>
        <x:v>8</x:v>
      </x:c>
      <x:c r="G33" s="33" t="n">
        <x:f>SUM(C33:F33)</x:f>
        <x:v>25</x:v>
      </x:c>
      <x:c r="H33" s="29" t="str">
        <x:f>IF(MAX(C33:F33)&gt;'项目总表'!$B$55+0.000001,"超负荷","未超上限")</x:f>
        <x:v>未超上限</x:v>
      </x:c>
    </x:row>
    <x:row r="34" ht="58" customHeight="1">
      <x:c r="A34" s="42" t="n">
        <x:f>WORKDAY('项目总表'!$B$15-1,6)</x:f>
        <x:v>46321</x:v>
      </x:c>
      <x:c r="B34" s="29" t="n">
        <x:f>INT((A34-'项目总表'!$B$15)/7)+1</x:f>
        <x:v>2</x:v>
      </x:c>
      <x:c r="C34" s="33" t="n">
        <x:f>SUMIFS('任务与甘特'!$AH$7:$AH$50,'任务与甘特'!$T$7:$T$50,"&lt;="&amp;$A34,'任务与甘特'!$U$7:$U$50,"&gt;="&amp;$A34)</x:f>
        <x:v>3</x:v>
      </x:c>
      <x:c r="D34" s="33" t="n">
        <x:f>SUMIFS('任务与甘特'!$AI$7:$AI$50,'任务与甘特'!$T$7:$T$50,"&lt;="&amp;$A34,'任务与甘特'!$U$7:$U$50,"&gt;="&amp;$A34)</x:f>
        <x:v>1.3333333333333333</x:v>
      </x:c>
      <x:c r="E34" s="33" t="n">
        <x:f>SUMIFS('任务与甘特'!$AJ$7:$AJ$50,'任务与甘特'!$T$7:$T$50,"&lt;="&amp;$A34,'任务与甘特'!$U$7:$U$50,"&gt;="&amp;$A34)</x:f>
        <x:v>2</x:v>
      </x:c>
      <x:c r="F34" s="33" t="n">
        <x:f>SUMIFS('任务与甘特'!$AK$7:$AK$50,'任务与甘特'!$T$7:$T$50,"&lt;="&amp;$A34,'任务与甘特'!$U$7:$U$50,"&gt;="&amp;$A34)</x:f>
        <x:v>6</x:v>
      </x:c>
      <x:c r="G34" s="33" t="n">
        <x:f>SUM(C34:F34)</x:f>
        <x:v>12.333333333333332</x:v>
      </x:c>
      <x:c r="H34" s="29" t="str">
        <x:f>IF(MAX(C34:F34)&gt;'项目总表'!$B$55+0.000001,"超负荷","未超上限")</x:f>
        <x:v>未超上限</x:v>
      </x:c>
    </x:row>
    <x:row r="35" ht="58" customHeight="1">
      <x:c r="A35" s="42" t="n">
        <x:f>WORKDAY('项目总表'!$B$15-1,7)</x:f>
        <x:v>46322</x:v>
      </x:c>
      <x:c r="B35" s="29" t="n">
        <x:f>INT((A35-'项目总表'!$B$15)/7)+1</x:f>
        <x:v>2</x:v>
      </x:c>
      <x:c r="C35" s="33" t="n">
        <x:f>SUMIFS('任务与甘特'!$AH$7:$AH$50,'任务与甘特'!$T$7:$T$50,"&lt;="&amp;$A35,'任务与甘特'!$U$7:$U$50,"&gt;="&amp;$A35)</x:f>
        <x:v>6.666666666666667</x:v>
      </x:c>
      <x:c r="D35" s="33" t="n">
        <x:f>SUMIFS('任务与甘特'!$AI$7:$AI$50,'任务与甘特'!$T$7:$T$50,"&lt;="&amp;$A35,'任务与甘特'!$U$7:$U$50,"&gt;="&amp;$A35)</x:f>
        <x:v>6.666666666666666</x:v>
      </x:c>
      <x:c r="E35" s="33" t="n">
        <x:f>SUMIFS('任务与甘特'!$AJ$7:$AJ$50,'任务与甘特'!$T$7:$T$50,"&lt;="&amp;$A35,'任务与甘特'!$U$7:$U$50,"&gt;="&amp;$A35)</x:f>
        <x:v>2.833333333333333</x:v>
      </x:c>
      <x:c r="F35" s="33" t="n">
        <x:f>SUMIFS('任务与甘特'!$AK$7:$AK$50,'任务与甘特'!$T$7:$T$50,"&lt;="&amp;$A35,'任务与甘特'!$U$7:$U$50,"&gt;="&amp;$A35)</x:f>
        <x:v>4</x:v>
      </x:c>
      <x:c r="G35" s="33" t="n">
        <x:f>SUM(C35:F35)</x:f>
        <x:v>20.166666666666664</x:v>
      </x:c>
      <x:c r="H35" s="29" t="str">
        <x:f>IF(MAX(C35:F35)&gt;'项目总表'!$B$55+0.000001,"超负荷","未超上限")</x:f>
        <x:v>未超上限</x:v>
      </x:c>
    </x:row>
    <x:row r="36" ht="58" customHeight="1">
      <x:c r="A36" s="42" t="n">
        <x:f>WORKDAY('项目总表'!$B$15-1,8)</x:f>
        <x:v>46323</x:v>
      </x:c>
      <x:c r="B36" s="29" t="n">
        <x:f>INT((A36-'项目总表'!$B$15)/7)+1</x:f>
        <x:v>2</x:v>
      </x:c>
      <x:c r="C36" s="33" t="n">
        <x:f>SUMIFS('任务与甘特'!$AH$7:$AH$50,'任务与甘特'!$T$7:$T$50,"&lt;="&amp;$A36,'任务与甘特'!$U$7:$U$50,"&gt;="&amp;$A36)</x:f>
        <x:v>6.666666666666667</x:v>
      </x:c>
      <x:c r="D36" s="33" t="n">
        <x:f>SUMIFS('任务与甘特'!$AI$7:$AI$50,'任务与甘特'!$T$7:$T$50,"&lt;="&amp;$A36,'任务与甘特'!$U$7:$U$50,"&gt;="&amp;$A36)</x:f>
        <x:v>6.666666666666666</x:v>
      </x:c>
      <x:c r="E36" s="33" t="n">
        <x:f>SUMIFS('任务与甘特'!$AJ$7:$AJ$50,'任务与甘特'!$T$7:$T$50,"&lt;="&amp;$A36,'任务与甘特'!$U$7:$U$50,"&gt;="&amp;$A36)</x:f>
        <x:v>2.833333333333333</x:v>
      </x:c>
      <x:c r="F36" s="33" t="n">
        <x:f>SUMIFS('任务与甘特'!$AK$7:$AK$50,'任务与甘特'!$T$7:$T$50,"&lt;="&amp;$A36,'任务与甘特'!$U$7:$U$50,"&gt;="&amp;$A36)</x:f>
        <x:v>4</x:v>
      </x:c>
      <x:c r="G36" s="33" t="n">
        <x:f>SUM(C36:F36)</x:f>
        <x:v>20.166666666666664</x:v>
      </x:c>
      <x:c r="H36" s="29" t="str">
        <x:f>IF(MAX(C36:F36)&gt;'项目总表'!$B$55+0.000001,"超负荷","未超上限")</x:f>
        <x:v>未超上限</x:v>
      </x:c>
    </x:row>
    <x:row r="37" ht="58" customHeight="1">
      <x:c r="A37" s="42" t="n">
        <x:f>WORKDAY('项目总表'!$B$15-1,9)</x:f>
        <x:v>46324</x:v>
      </x:c>
      <x:c r="B37" s="29" t="n">
        <x:f>INT((A37-'项目总表'!$B$15)/7)+1</x:f>
        <x:v>2</x:v>
      </x:c>
      <x:c r="C37" s="33" t="n">
        <x:f>SUMIFS('任务与甘特'!$AH$7:$AH$50,'任务与甘特'!$T$7:$T$50,"&lt;="&amp;$A37,'任务与甘特'!$U$7:$U$50,"&gt;="&amp;$A37)</x:f>
        <x:v>4.666666666666667</x:v>
      </x:c>
      <x:c r="D37" s="33" t="n">
        <x:f>SUMIFS('任务与甘特'!$AI$7:$AI$50,'任务与甘特'!$T$7:$T$50,"&lt;="&amp;$A37,'任务与甘特'!$U$7:$U$50,"&gt;="&amp;$A37)</x:f>
        <x:v>2.333333333333333</x:v>
      </x:c>
      <x:c r="E37" s="33" t="n">
        <x:f>SUMIFS('任务与甘特'!$AJ$7:$AJ$50,'任务与甘特'!$T$7:$T$50,"&lt;="&amp;$A37,'任务与甘特'!$U$7:$U$50,"&gt;="&amp;$A37)</x:f>
        <x:v>1.3333333333333333</x:v>
      </x:c>
      <x:c r="F37" s="33" t="n">
        <x:f>SUMIFS('任务与甘特'!$AK$7:$AK$50,'任务与甘特'!$T$7:$T$50,"&lt;="&amp;$A37,'任务与甘特'!$U$7:$U$50,"&gt;="&amp;$A37)</x:f>
        <x:v>4</x:v>
      </x:c>
      <x:c r="G37" s="33" t="n">
        <x:f>SUM(C37:F37)</x:f>
        <x:v>12.333333333333334</x:v>
      </x:c>
      <x:c r="H37" s="29" t="str">
        <x:f>IF(MAX(C37:F37)&gt;'项目总表'!$B$55+0.000001,"超负荷","未超上限")</x:f>
        <x:v>未超上限</x:v>
      </x:c>
    </x:row>
    <x:row r="38" ht="58" customHeight="1">
      <x:c r="A38" s="42" t="n">
        <x:f>WORKDAY('项目总表'!$B$15-1,10)</x:f>
        <x:v>46325</x:v>
      </x:c>
      <x:c r="B38" s="29" t="n">
        <x:f>INT((A38-'项目总表'!$B$15)/7)+1</x:f>
        <x:v>2</x:v>
      </x:c>
      <x:c r="C38" s="33" t="n">
        <x:f>SUMIFS('任务与甘特'!$AH$7:$AH$50,'任务与甘特'!$T$7:$T$50,"&lt;="&amp;$A38,'任务与甘特'!$U$7:$U$50,"&gt;="&amp;$A38)</x:f>
        <x:v>5.5</x:v>
      </x:c>
      <x:c r="D38" s="33" t="n">
        <x:f>SUMIFS('任务与甘特'!$AI$7:$AI$50,'任务与甘特'!$T$7:$T$50,"&lt;="&amp;$A38,'任务与甘特'!$U$7:$U$50,"&gt;="&amp;$A38)</x:f>
        <x:v>7.5</x:v>
      </x:c>
      <x:c r="E38" s="33" t="n">
        <x:f>SUMIFS('任务与甘特'!$AJ$7:$AJ$50,'任务与甘特'!$T$7:$T$50,"&lt;="&amp;$A38,'任务与甘特'!$U$7:$U$50,"&gt;="&amp;$A38)</x:f>
        <x:v>6.5</x:v>
      </x:c>
      <x:c r="F38" s="33" t="n">
        <x:f>SUMIFS('任务与甘特'!$AK$7:$AK$50,'任务与甘特'!$T$7:$T$50,"&lt;="&amp;$A38,'任务与甘特'!$U$7:$U$50,"&gt;="&amp;$A38)</x:f>
        <x:v>6.166666666666666</x:v>
      </x:c>
      <x:c r="G38" s="33" t="n">
        <x:f>SUM(C38:F38)</x:f>
        <x:v>25.666666666666664</x:v>
      </x:c>
      <x:c r="H38" s="29" t="str">
        <x:f>IF(MAX(C38:F38)&gt;'项目总表'!$B$55+0.000001,"超负荷","未超上限")</x:f>
        <x:v>未超上限</x:v>
      </x:c>
    </x:row>
    <x:row r="39" ht="58" customHeight="1">
      <x:c r="A39" s="42" t="n">
        <x:f>WORKDAY('项目总表'!$B$15-1,11)</x:f>
        <x:v>46328</x:v>
      </x:c>
      <x:c r="B39" s="29" t="n">
        <x:f>INT((A39-'项目总表'!$B$15)/7)+1</x:f>
        <x:v>3</x:v>
      </x:c>
      <x:c r="C39" s="33" t="n">
        <x:f>SUMIFS('任务与甘特'!$AH$7:$AH$50,'任务与甘特'!$T$7:$T$50,"&lt;="&amp;$A39,'任务与甘特'!$U$7:$U$50,"&gt;="&amp;$A39)</x:f>
        <x:v>5.5</x:v>
      </x:c>
      <x:c r="D39" s="33" t="n">
        <x:f>SUMIFS('任务与甘特'!$AI$7:$AI$50,'任务与甘特'!$T$7:$T$50,"&lt;="&amp;$A39,'任务与甘特'!$U$7:$U$50,"&gt;="&amp;$A39)</x:f>
        <x:v>7.5</x:v>
      </x:c>
      <x:c r="E39" s="33" t="n">
        <x:f>SUMIFS('任务与甘特'!$AJ$7:$AJ$50,'任务与甘特'!$T$7:$T$50,"&lt;="&amp;$A39,'任务与甘特'!$U$7:$U$50,"&gt;="&amp;$A39)</x:f>
        <x:v>6.5</x:v>
      </x:c>
      <x:c r="F39" s="33" t="n">
        <x:f>SUMIFS('任务与甘特'!$AK$7:$AK$50,'任务与甘特'!$T$7:$T$50,"&lt;="&amp;$A39,'任务与甘特'!$U$7:$U$50,"&gt;="&amp;$A39)</x:f>
        <x:v>6.166666666666666</x:v>
      </x:c>
      <x:c r="G39" s="33" t="n">
        <x:f>SUM(C39:F39)</x:f>
        <x:v>25.666666666666664</x:v>
      </x:c>
      <x:c r="H39" s="29" t="str">
        <x:f>IF(MAX(C39:F39)&gt;'项目总表'!$B$55+0.000001,"超负荷","未超上限")</x:f>
        <x:v>未超上限</x:v>
      </x:c>
    </x:row>
    <x:row r="40" ht="58" customHeight="1">
      <x:c r="A40" s="42" t="n">
        <x:f>WORKDAY('项目总表'!$B$15-1,12)</x:f>
        <x:v>46329</x:v>
      </x:c>
      <x:c r="B40" s="29" t="n">
        <x:f>INT((A40-'项目总表'!$B$15)/7)+1</x:f>
        <x:v>3</x:v>
      </x:c>
      <x:c r="C40" s="33" t="n">
        <x:f>SUMIFS('任务与甘特'!$AH$7:$AH$50,'任务与甘特'!$T$7:$T$50,"&lt;="&amp;$A40,'任务与甘特'!$U$7:$U$50,"&gt;="&amp;$A40)</x:f>
        <x:v>5.333333333333334</x:v>
      </x:c>
      <x:c r="D40" s="33" t="n">
        <x:f>SUMIFS('任务与甘特'!$AI$7:$AI$50,'任务与甘特'!$T$7:$T$50,"&lt;="&amp;$A40,'任务与甘特'!$U$7:$U$50,"&gt;="&amp;$A40)</x:f>
        <x:v>6</x:v>
      </x:c>
      <x:c r="E40" s="33" t="n">
        <x:f>SUMIFS('任务与甘特'!$AJ$7:$AJ$50,'任务与甘特'!$T$7:$T$50,"&lt;="&amp;$A40,'任务与甘特'!$U$7:$U$50,"&gt;="&amp;$A40)</x:f>
        <x:v>6</x:v>
      </x:c>
      <x:c r="F40" s="33" t="n">
        <x:f>SUMIFS('任务与甘特'!$AK$7:$AK$50,'任务与甘特'!$T$7:$T$50,"&lt;="&amp;$A40,'任务与甘特'!$U$7:$U$50,"&gt;="&amp;$A40)</x:f>
        <x:v>1.3333333333333333</x:v>
      </x:c>
      <x:c r="G40" s="33" t="n">
        <x:f>SUM(C40:F40)</x:f>
        <x:v>18.666666666666668</x:v>
      </x:c>
      <x:c r="H40" s="29" t="str">
        <x:f>IF(MAX(C40:F40)&gt;'项目总表'!$B$55+0.000001,"超负荷","未超上限")</x:f>
        <x:v>未超上限</x:v>
      </x:c>
    </x:row>
    <x:row r="41" ht="58" customHeight="1">
      <x:c r="A41" s="42" t="n">
        <x:f>WORKDAY('项目总表'!$B$15-1,13)</x:f>
        <x:v>46330</x:v>
      </x:c>
      <x:c r="B41" s="29" t="n">
        <x:f>INT((A41-'项目总表'!$B$15)/7)+1</x:f>
        <x:v>3</x:v>
      </x:c>
      <x:c r="C41" s="33" t="n">
        <x:f>SUMIFS('任务与甘特'!$AH$7:$AH$50,'任务与甘特'!$T$7:$T$50,"&lt;="&amp;$A41,'任务与甘特'!$U$7:$U$50,"&gt;="&amp;$A41)</x:f>
        <x:v>5.833333333333334</x:v>
      </x:c>
      <x:c r="D41" s="33" t="n">
        <x:f>SUMIFS('任务与甘特'!$AI$7:$AI$50,'任务与甘特'!$T$7:$T$50,"&lt;="&amp;$A41,'任务与甘特'!$U$7:$U$50,"&gt;="&amp;$A41)</x:f>
        <x:v>6</x:v>
      </x:c>
      <x:c r="E41" s="33" t="n">
        <x:f>SUMIFS('任务与甘特'!$AJ$7:$AJ$50,'任务与甘特'!$T$7:$T$50,"&lt;="&amp;$A41,'任务与甘特'!$U$7:$U$50,"&gt;="&amp;$A41)</x:f>
        <x:v>6</x:v>
      </x:c>
      <x:c r="F41" s="33" t="n">
        <x:f>SUMIFS('任务与甘特'!$AK$7:$AK$50,'任务与甘特'!$T$7:$T$50,"&lt;="&amp;$A41,'任务与甘特'!$U$7:$U$50,"&gt;="&amp;$A41)</x:f>
        <x:v>1.6666666666666665</x:v>
      </x:c>
      <x:c r="G41" s="33" t="n">
        <x:f>SUM(C41:F41)</x:f>
        <x:v>19.500000000000004</x:v>
      </x:c>
      <x:c r="H41" s="29" t="str">
        <x:f>IF(MAX(C41:F41)&gt;'项目总表'!$B$55+0.000001,"超负荷","未超上限")</x:f>
        <x:v>未超上限</x:v>
      </x:c>
    </x:row>
    <x:row r="42" ht="58" customHeight="1">
      <x:c r="A42" s="42" t="n">
        <x:f>WORKDAY('项目总表'!$B$15-1,14)</x:f>
        <x:v>46331</x:v>
      </x:c>
      <x:c r="B42" s="29" t="n">
        <x:f>INT((A42-'项目总表'!$B$15)/7)+1</x:f>
        <x:v>3</x:v>
      </x:c>
      <x:c r="C42" s="33" t="n">
        <x:f>SUMIFS('任务与甘特'!$AH$7:$AH$50,'任务与甘特'!$T$7:$T$50,"&lt;="&amp;$A42,'任务与甘特'!$U$7:$U$50,"&gt;="&amp;$A42)</x:f>
        <x:v>5.833333333333334</x:v>
      </x:c>
      <x:c r="D42" s="33" t="n">
        <x:f>SUMIFS('任务与甘特'!$AI$7:$AI$50,'任务与甘特'!$T$7:$T$50,"&lt;="&amp;$A42,'任务与甘特'!$U$7:$U$50,"&gt;="&amp;$A42)</x:f>
        <x:v>6</x:v>
      </x:c>
      <x:c r="E42" s="33" t="n">
        <x:f>SUMIFS('任务与甘特'!$AJ$7:$AJ$50,'任务与甘特'!$T$7:$T$50,"&lt;="&amp;$A42,'任务与甘特'!$U$7:$U$50,"&gt;="&amp;$A42)</x:f>
        <x:v>6</x:v>
      </x:c>
      <x:c r="F42" s="33" t="n">
        <x:f>SUMIFS('任务与甘特'!$AK$7:$AK$50,'任务与甘特'!$T$7:$T$50,"&lt;="&amp;$A42,'任务与甘特'!$U$7:$U$50,"&gt;="&amp;$A42)</x:f>
        <x:v>1.6666666666666665</x:v>
      </x:c>
      <x:c r="G42" s="33" t="n">
        <x:f>SUM(C42:F42)</x:f>
        <x:v>19.500000000000004</x:v>
      </x:c>
      <x:c r="H42" s="29" t="str">
        <x:f>IF(MAX(C42:F42)&gt;'项目总表'!$B$55+0.000001,"超负荷","未超上限")</x:f>
        <x:v>未超上限</x:v>
      </x:c>
    </x:row>
    <x:row r="43" ht="58" customHeight="1">
      <x:c r="A43" s="42" t="n">
        <x:f>WORKDAY('项目总表'!$B$15-1,15)</x:f>
        <x:v>46332</x:v>
      </x:c>
      <x:c r="B43" s="29" t="n">
        <x:f>INT((A43-'项目总表'!$B$15)/7)+1</x:f>
        <x:v>3</x:v>
      </x:c>
      <x:c r="C43" s="33" t="n">
        <x:f>SUMIFS('任务与甘特'!$AH$7:$AH$50,'任务与甘特'!$T$7:$T$50,"&lt;="&amp;$A43,'任务与甘特'!$U$7:$U$50,"&gt;="&amp;$A43)</x:f>
        <x:v>5</x:v>
      </x:c>
      <x:c r="D43" s="33" t="n">
        <x:f>SUMIFS('任务与甘特'!$AI$7:$AI$50,'任务与甘特'!$T$7:$T$50,"&lt;="&amp;$A43,'任务与甘特'!$U$7:$U$50,"&gt;="&amp;$A43)</x:f>
        <x:v>5</x:v>
      </x:c>
      <x:c r="E43" s="33" t="n">
        <x:f>SUMIFS('任务与甘特'!$AJ$7:$AJ$50,'任务与甘特'!$T$7:$T$50,"&lt;="&amp;$A43,'任务与甘特'!$U$7:$U$50,"&gt;="&amp;$A43)</x:f>
        <x:v>5</x:v>
      </x:c>
      <x:c r="F43" s="33" t="n">
        <x:f>SUMIFS('任务与甘特'!$AK$7:$AK$50,'任务与甘特'!$T$7:$T$50,"&lt;="&amp;$A43,'任务与甘特'!$U$7:$U$50,"&gt;="&amp;$A43)</x:f>
        <x:v>2</x:v>
      </x:c>
      <x:c r="G43" s="33" t="n">
        <x:f>SUM(C43:F43)</x:f>
        <x:v>17</x:v>
      </x:c>
      <x:c r="H43" s="29" t="str">
        <x:f>IF(MAX(C43:F43)&gt;'项目总表'!$B$55+0.000001,"超负荷","未超上限")</x:f>
        <x:v>未超上限</x:v>
      </x:c>
    </x:row>
    <x:row r="44" ht="58" customHeight="1">
      <x:c r="A44" s="42" t="n">
        <x:f>WORKDAY('项目总表'!$B$15-1,16)</x:f>
        <x:v>46335</x:v>
      </x:c>
      <x:c r="B44" s="29" t="n">
        <x:f>INT((A44-'项目总表'!$B$15)/7)+1</x:f>
        <x:v>4</x:v>
      </x:c>
      <x:c r="C44" s="33" t="n">
        <x:f>SUMIFS('任务与甘特'!$AH$7:$AH$50,'任务与甘特'!$T$7:$T$50,"&lt;="&amp;$A44,'任务与甘特'!$U$7:$U$50,"&gt;="&amp;$A44)</x:f>
        <x:v>5</x:v>
      </x:c>
      <x:c r="D44" s="33" t="n">
        <x:f>SUMIFS('任务与甘特'!$AI$7:$AI$50,'任务与甘特'!$T$7:$T$50,"&lt;="&amp;$A44,'任务与甘特'!$U$7:$U$50,"&gt;="&amp;$A44)</x:f>
        <x:v>7</x:v>
      </x:c>
      <x:c r="E44" s="33" t="n">
        <x:f>SUMIFS('任务与甘特'!$AJ$7:$AJ$50,'任务与甘特'!$T$7:$T$50,"&lt;="&amp;$A44,'任务与甘特'!$U$7:$U$50,"&gt;="&amp;$A44)</x:f>
        <x:v>8</x:v>
      </x:c>
      <x:c r="F44" s="33" t="n">
        <x:f>SUMIFS('任务与甘特'!$AK$7:$AK$50,'任务与甘特'!$T$7:$T$50,"&lt;="&amp;$A44,'任务与甘特'!$U$7:$U$50,"&gt;="&amp;$A44)</x:f>
        <x:v>4</x:v>
      </x:c>
      <x:c r="G44" s="33" t="n">
        <x:f>SUM(C44:F44)</x:f>
        <x:v>24</x:v>
      </x:c>
      <x:c r="H44" s="29" t="str">
        <x:f>IF(MAX(C44:F44)&gt;'项目总表'!$B$55+0.000001,"超负荷","未超上限")</x:f>
        <x:v>未超上限</x:v>
      </x:c>
    </x:row>
    <x:row r="45" ht="58" customHeight="1">
      <x:c r="A45" s="42" t="n">
        <x:f>WORKDAY('项目总表'!$B$15-1,17)</x:f>
        <x:v>46336</x:v>
      </x:c>
      <x:c r="B45" s="29" t="n">
        <x:f>INT((A45-'项目总表'!$B$15)/7)+1</x:f>
        <x:v>4</x:v>
      </x:c>
      <x:c r="C45" s="33" t="n">
        <x:f>SUMIFS('任务与甘特'!$AH$7:$AH$50,'任务与甘特'!$T$7:$T$50,"&lt;="&amp;$A45,'任务与甘特'!$U$7:$U$50,"&gt;="&amp;$A45)</x:f>
        <x:v>6</x:v>
      </x:c>
      <x:c r="D45" s="33" t="n">
        <x:f>SUMIFS('任务与甘特'!$AI$7:$AI$50,'任务与甘特'!$T$7:$T$50,"&lt;="&amp;$A45,'任务与甘特'!$U$7:$U$50,"&gt;="&amp;$A45)</x:f>
        <x:v>8</x:v>
      </x:c>
      <x:c r="E45" s="33" t="n">
        <x:f>SUMIFS('任务与甘特'!$AJ$7:$AJ$50,'任务与甘特'!$T$7:$T$50,"&lt;="&amp;$A45,'任务与甘特'!$U$7:$U$50,"&gt;="&amp;$A45)</x:f>
        <x:v>7</x:v>
      </x:c>
      <x:c r="F45" s="33" t="n">
        <x:f>SUMIFS('任务与甘特'!$AK$7:$AK$50,'任务与甘特'!$T$7:$T$50,"&lt;="&amp;$A45,'任务与甘特'!$U$7:$U$50,"&gt;="&amp;$A45)</x:f>
        <x:v>4</x:v>
      </x:c>
      <x:c r="G45" s="33" t="n">
        <x:f>SUM(C45:F45)</x:f>
        <x:v>25</x:v>
      </x:c>
      <x:c r="H45" s="29" t="str">
        <x:f>IF(MAX(C45:F45)&gt;'项目总表'!$B$55+0.000001,"超负荷","未超上限")</x:f>
        <x:v>未超上限</x:v>
      </x:c>
    </x:row>
    <x:row r="46" ht="58" customHeight="1">
      <x:c r="A46" s="42" t="n">
        <x:f>WORKDAY('项目总表'!$B$15-1,18)</x:f>
        <x:v>46337</x:v>
      </x:c>
      <x:c r="B46" s="29" t="n">
        <x:f>INT((A46-'项目总表'!$B$15)/7)+1</x:f>
        <x:v>4</x:v>
      </x:c>
      <x:c r="C46" s="33" t="n">
        <x:f>SUMIFS('任务与甘特'!$AH$7:$AH$50,'任务与甘特'!$T$7:$T$50,"&lt;="&amp;$A46,'任务与甘特'!$U$7:$U$50,"&gt;="&amp;$A46)</x:f>
        <x:v>4</x:v>
      </x:c>
      <x:c r="D46" s="33" t="n">
        <x:f>SUMIFS('任务与甘特'!$AI$7:$AI$50,'任务与甘特'!$T$7:$T$50,"&lt;="&amp;$A46,'任务与甘特'!$U$7:$U$50,"&gt;="&amp;$A46)</x:f>
        <x:v>7.666666666666666</x:v>
      </x:c>
      <x:c r="E46" s="33" t="n">
        <x:f>SUMIFS('任务与甘特'!$AJ$7:$AJ$50,'任务与甘特'!$T$7:$T$50,"&lt;="&amp;$A46,'任务与甘特'!$U$7:$U$50,"&gt;="&amp;$A46)</x:f>
        <x:v>6.666666666666667</x:v>
      </x:c>
      <x:c r="F46" s="33" t="n">
        <x:f>SUMIFS('任务与甘特'!$AK$7:$AK$50,'任务与甘特'!$T$7:$T$50,"&lt;="&amp;$A46,'任务与甘特'!$U$7:$U$50,"&gt;="&amp;$A46)</x:f>
        <x:v>5.333333333333334</x:v>
      </x:c>
      <x:c r="G46" s="33" t="n">
        <x:f>SUM(C46:F46)</x:f>
        <x:v>23.666666666666664</x:v>
      </x:c>
      <x:c r="H46" s="29" t="str">
        <x:f>IF(MAX(C46:F46)&gt;'项目总表'!$B$55+0.000001,"超负荷","未超上限")</x:f>
        <x:v>未超上限</x:v>
      </x:c>
    </x:row>
    <x:row r="47" ht="58" customHeight="1">
      <x:c r="A47" s="42" t="n">
        <x:f>WORKDAY('项目总表'!$B$15-1,19)</x:f>
        <x:v>46338</x:v>
      </x:c>
      <x:c r="B47" s="29" t="n">
        <x:f>INT((A47-'项目总表'!$B$15)/7)+1</x:f>
        <x:v>4</x:v>
      </x:c>
      <x:c r="C47" s="33" t="n">
        <x:f>SUMIFS('任务与甘特'!$AH$7:$AH$50,'任务与甘特'!$T$7:$T$50,"&lt;="&amp;$A47,'任务与甘特'!$U$7:$U$50,"&gt;="&amp;$A47)</x:f>
        <x:v>7</x:v>
      </x:c>
      <x:c r="D47" s="33" t="n">
        <x:f>SUMIFS('任务与甘特'!$AI$7:$AI$50,'任务与甘特'!$T$7:$T$50,"&lt;="&amp;$A47,'任务与甘特'!$U$7:$U$50,"&gt;="&amp;$A47)</x:f>
        <x:v>7.666666666666666</x:v>
      </x:c>
      <x:c r="E47" s="33" t="n">
        <x:f>SUMIFS('任务与甘特'!$AJ$7:$AJ$50,'任务与甘特'!$T$7:$T$50,"&lt;="&amp;$A47,'任务与甘特'!$U$7:$U$50,"&gt;="&amp;$A47)</x:f>
        <x:v>3</x:v>
      </x:c>
      <x:c r="F47" s="33" t="n">
        <x:f>SUMIFS('任务与甘特'!$AK$7:$AK$50,'任务与甘特'!$T$7:$T$50,"&lt;="&amp;$A47,'任务与甘特'!$U$7:$U$50,"&gt;="&amp;$A47)</x:f>
        <x:v>4</x:v>
      </x:c>
      <x:c r="G47" s="33" t="n">
        <x:f>SUM(C47:F47)</x:f>
        <x:v>21.666666666666664</x:v>
      </x:c>
      <x:c r="H47" s="29" t="str">
        <x:f>IF(MAX(C47:F47)&gt;'项目总表'!$B$55+0.000001,"超负荷","未超上限")</x:f>
        <x:v>未超上限</x:v>
      </x:c>
    </x:row>
    <x:row r="48" ht="58" customHeight="1">
      <x:c r="A48" s="42" t="n">
        <x:f>WORKDAY('项目总表'!$B$15-1,20)</x:f>
        <x:v>46339</x:v>
      </x:c>
      <x:c r="B48" s="29" t="n">
        <x:f>INT((A48-'项目总表'!$B$15)/7)+1</x:f>
        <x:v>4</x:v>
      </x:c>
      <x:c r="C48" s="33" t="n">
        <x:f>SUMIFS('任务与甘特'!$AH$7:$AH$50,'任务与甘特'!$T$7:$T$50,"&lt;="&amp;$A48,'任务与甘特'!$U$7:$U$50,"&gt;="&amp;$A48)</x:f>
        <x:v>7</x:v>
      </x:c>
      <x:c r="D48" s="33" t="n">
        <x:f>SUMIFS('任务与甘特'!$AI$7:$AI$50,'任务与甘特'!$T$7:$T$50,"&lt;="&amp;$A48,'任务与甘特'!$U$7:$U$50,"&gt;="&amp;$A48)</x:f>
        <x:v>7.666666666666666</x:v>
      </x:c>
      <x:c r="E48" s="33" t="n">
        <x:f>SUMIFS('任务与甘特'!$AJ$7:$AJ$50,'任务与甘特'!$T$7:$T$50,"&lt;="&amp;$A48,'任务与甘特'!$U$7:$U$50,"&gt;="&amp;$A48)</x:f>
        <x:v>3</x:v>
      </x:c>
      <x:c r="F48" s="33" t="n">
        <x:f>SUMIFS('任务与甘特'!$AK$7:$AK$50,'任务与甘特'!$T$7:$T$50,"&lt;="&amp;$A48,'任务与甘特'!$U$7:$U$50,"&gt;="&amp;$A48)</x:f>
        <x:v>4</x:v>
      </x:c>
      <x:c r="G48" s="33" t="n">
        <x:f>SUM(C48:F48)</x:f>
        <x:v>21.666666666666664</x:v>
      </x:c>
      <x:c r="H48" s="29" t="str">
        <x:f>IF(MAX(C48:F48)&gt;'项目总表'!$B$55+0.000001,"超负荷","未超上限")</x:f>
        <x:v>未超上限</x:v>
      </x:c>
    </x:row>
    <x:row r="49" ht="58" customHeight="1">
      <x:c r="A49" s="42" t="n">
        <x:f>WORKDAY('项目总表'!$B$15-1,21)</x:f>
        <x:v>46342</x:v>
      </x:c>
      <x:c r="B49" s="29" t="n">
        <x:f>INT((A49-'项目总表'!$B$15)/7)+1</x:f>
        <x:v>5</x:v>
      </x:c>
      <x:c r="C49" s="33" t="n">
        <x:f>SUMIFS('任务与甘特'!$AH$7:$AH$50,'任务与甘特'!$T$7:$T$50,"&lt;="&amp;$A49,'任务与甘特'!$U$7:$U$50,"&gt;="&amp;$A49)</x:f>
        <x:v>6</x:v>
      </x:c>
      <x:c r="D49" s="33" t="n">
        <x:f>SUMIFS('任务与甘特'!$AI$7:$AI$50,'任务与甘特'!$T$7:$T$50,"&lt;="&amp;$A49,'任务与甘特'!$U$7:$U$50,"&gt;="&amp;$A49)</x:f>
        <x:v>6</x:v>
      </x:c>
      <x:c r="E49" s="33" t="n">
        <x:f>SUMIFS('任务与甘特'!$AJ$7:$AJ$50,'任务与甘特'!$T$7:$T$50,"&lt;="&amp;$A49,'任务与甘特'!$U$7:$U$50,"&gt;="&amp;$A49)</x:f>
        <x:v>5.833333333333333</x:v>
      </x:c>
      <x:c r="F49" s="33" t="n">
        <x:f>SUMIFS('任务与甘特'!$AK$7:$AK$50,'任务与甘特'!$T$7:$T$50,"&lt;="&amp;$A49,'任务与甘特'!$U$7:$U$50,"&gt;="&amp;$A49)</x:f>
        <x:v>4.166666666666666</x:v>
      </x:c>
      <x:c r="G49" s="33" t="n">
        <x:f>SUM(C49:F49)</x:f>
        <x:v>22</x:v>
      </x:c>
      <x:c r="H49" s="29" t="str">
        <x:f>IF(MAX(C49:F49)&gt;'项目总表'!$B$55+0.000001,"超负荷","未超上限")</x:f>
        <x:v>未超上限</x:v>
      </x:c>
    </x:row>
    <x:row r="50" ht="58" customHeight="1">
      <x:c r="A50" s="42" t="n">
        <x:f>WORKDAY('项目总表'!$B$15-1,22)</x:f>
        <x:v>46343</x:v>
      </x:c>
      <x:c r="B50" s="29" t="n">
        <x:f>INT((A50-'项目总表'!$B$15)/7)+1</x:f>
        <x:v>5</x:v>
      </x:c>
      <x:c r="C50" s="33" t="n">
        <x:f>SUMIFS('任务与甘特'!$AH$7:$AH$50,'任务与甘特'!$T$7:$T$50,"&lt;="&amp;$A50,'任务与甘特'!$U$7:$U$50,"&gt;="&amp;$A50)</x:f>
        <x:v>4.333333333333334</x:v>
      </x:c>
      <x:c r="D50" s="33" t="n">
        <x:f>SUMIFS('任务与甘特'!$AI$7:$AI$50,'任务与甘特'!$T$7:$T$50,"&lt;="&amp;$A50,'任务与甘特'!$U$7:$U$50,"&gt;="&amp;$A50)</x:f>
        <x:v>5</x:v>
      </x:c>
      <x:c r="E50" s="33" t="n">
        <x:f>SUMIFS('任务与甘特'!$AJ$7:$AJ$50,'任务与甘特'!$T$7:$T$50,"&lt;="&amp;$A50,'任务与甘特'!$U$7:$U$50,"&gt;="&amp;$A50)</x:f>
        <x:v>7.5</x:v>
      </x:c>
      <x:c r="F50" s="33" t="n">
        <x:f>SUMIFS('任务与甘特'!$AK$7:$AK$50,'任务与甘特'!$T$7:$T$50,"&lt;="&amp;$A50,'任务与甘特'!$U$7:$U$50,"&gt;="&amp;$A50)</x:f>
        <x:v>7.166666666666666</x:v>
      </x:c>
      <x:c r="G50" s="33" t="n">
        <x:f>SUM(C50:F50)</x:f>
        <x:v>24</x:v>
      </x:c>
      <x:c r="H50" s="29" t="str">
        <x:f>IF(MAX(C50:F50)&gt;'项目总表'!$B$55+0.000001,"超负荷","未超上限")</x:f>
        <x:v>未超上限</x:v>
      </x:c>
    </x:row>
    <x:row r="51" ht="58" customHeight="1">
      <x:c r="A51" s="42" t="n">
        <x:f>WORKDAY('项目总表'!$B$15-1,23)</x:f>
        <x:v>46344</x:v>
      </x:c>
      <x:c r="B51" s="29" t="n">
        <x:f>INT((A51-'项目总表'!$B$15)/7)+1</x:f>
        <x:v>5</x:v>
      </x:c>
      <x:c r="C51" s="33" t="n">
        <x:f>SUMIFS('任务与甘特'!$AH$7:$AH$50,'任务与甘特'!$T$7:$T$50,"&lt;="&amp;$A51,'任务与甘特'!$U$7:$U$50,"&gt;="&amp;$A51)</x:f>
        <x:v>4.333333333333334</x:v>
      </x:c>
      <x:c r="D51" s="33" t="n">
        <x:f>SUMIFS('任务与甘特'!$AI$7:$AI$50,'任务与甘特'!$T$7:$T$50,"&lt;="&amp;$A51,'任务与甘特'!$U$7:$U$50,"&gt;="&amp;$A51)</x:f>
        <x:v>5.5</x:v>
      </x:c>
      <x:c r="E51" s="33" t="n">
        <x:f>SUMIFS('任务与甘特'!$AJ$7:$AJ$50,'任务与甘特'!$T$7:$T$50,"&lt;="&amp;$A51,'任务与甘特'!$U$7:$U$50,"&gt;="&amp;$A51)</x:f>
        <x:v>6</x:v>
      </x:c>
      <x:c r="F51" s="33" t="n">
        <x:f>SUMIFS('任务与甘特'!$AK$7:$AK$50,'任务与甘特'!$T$7:$T$50,"&lt;="&amp;$A51,'任务与甘特'!$U$7:$U$50,"&gt;="&amp;$A51)</x:f>
        <x:v>7.666666666666666</x:v>
      </x:c>
      <x:c r="G51" s="33" t="n">
        <x:f>SUM(C51:F51)</x:f>
        <x:v>23.5</x:v>
      </x:c>
      <x:c r="H51" s="29" t="str">
        <x:f>IF(MAX(C51:F51)&gt;'项目总表'!$B$55+0.000001,"超负荷","未超上限")</x:f>
        <x:v>未超上限</x:v>
      </x:c>
    </x:row>
    <x:row r="52" ht="58" customHeight="1">
      <x:c r="A52" s="42" t="n">
        <x:f>WORKDAY('项目总表'!$B$15-1,24)</x:f>
        <x:v>46345</x:v>
      </x:c>
      <x:c r="B52" s="29" t="n">
        <x:f>INT((A52-'项目总表'!$B$15)/7)+1</x:f>
        <x:v>5</x:v>
      </x:c>
      <x:c r="C52" s="33" t="n">
        <x:f>SUMIFS('任务与甘特'!$AH$7:$AH$50,'任务与甘特'!$T$7:$T$50,"&lt;="&amp;$A52,'任务与甘特'!$U$7:$U$50,"&gt;="&amp;$A52)</x:f>
        <x:v>7.333333333333334</x:v>
      </x:c>
      <x:c r="D52" s="33" t="n">
        <x:f>SUMIFS('任务与甘特'!$AI$7:$AI$50,'任务与甘特'!$T$7:$T$50,"&lt;="&amp;$A52,'任务与甘特'!$U$7:$U$50,"&gt;="&amp;$A52)</x:f>
        <x:v>6.5</x:v>
      </x:c>
      <x:c r="E52" s="33" t="n">
        <x:f>SUMIFS('任务与甘特'!$AJ$7:$AJ$50,'任务与甘特'!$T$7:$T$50,"&lt;="&amp;$A52,'任务与甘特'!$U$7:$U$50,"&gt;="&amp;$A52)</x:f>
        <x:v>6</x:v>
      </x:c>
      <x:c r="F52" s="33" t="n">
        <x:f>SUMIFS('任务与甘特'!$AK$7:$AK$50,'任务与甘特'!$T$7:$T$50,"&lt;="&amp;$A52,'任务与甘特'!$U$7:$U$50,"&gt;="&amp;$A52)</x:f>
        <x:v>5.666666666666666</x:v>
      </x:c>
      <x:c r="G52" s="33" t="n">
        <x:f>SUM(C52:F52)</x:f>
        <x:v>25.5</x:v>
      </x:c>
      <x:c r="H52" s="29" t="str">
        <x:f>IF(MAX(C52:F52)&gt;'项目总表'!$B$55+0.000001,"超负荷","未超上限")</x:f>
        <x:v>未超上限</x:v>
      </x:c>
    </x:row>
    <x:row r="53" ht="58" customHeight="1">
      <x:c r="A53" s="42" t="n">
        <x:f>WORKDAY('项目总表'!$B$15-1,25)</x:f>
        <x:v>46346</x:v>
      </x:c>
      <x:c r="B53" s="29" t="n">
        <x:f>INT((A53-'项目总表'!$B$15)/7)+1</x:f>
        <x:v>5</x:v>
      </x:c>
      <x:c r="C53" s="33" t="n">
        <x:f>SUMIFS('任务与甘特'!$AH$7:$AH$50,'任务与甘特'!$T$7:$T$50,"&lt;="&amp;$A53,'任务与甘特'!$U$7:$U$50,"&gt;="&amp;$A53)</x:f>
        <x:v>8</x:v>
      </x:c>
      <x:c r="D53" s="33" t="n">
        <x:f>SUMIFS('任务与甘特'!$AI$7:$AI$50,'任务与甘特'!$T$7:$T$50,"&lt;="&amp;$A53,'任务与甘特'!$U$7:$U$50,"&gt;="&amp;$A53)</x:f>
        <x:v>7</x:v>
      </x:c>
      <x:c r="E53" s="33" t="n">
        <x:f>SUMIFS('任务与甘特'!$AJ$7:$AJ$50,'任务与甘特'!$T$7:$T$50,"&lt;="&amp;$A53,'任务与甘特'!$U$7:$U$50,"&gt;="&amp;$A53)</x:f>
        <x:v>2</x:v>
      </x:c>
      <x:c r="F53" s="33" t="n">
        <x:f>SUMIFS('任务与甘特'!$AK$7:$AK$50,'任务与甘特'!$T$7:$T$50,"&lt;="&amp;$A53,'任务与甘特'!$U$7:$U$50,"&gt;="&amp;$A53)</x:f>
        <x:v>6</x:v>
      </x:c>
      <x:c r="G53" s="33" t="n">
        <x:f>SUM(C53:F53)</x:f>
        <x:v>23</x:v>
      </x:c>
      <x:c r="H53" s="29" t="str">
        <x:f>IF(MAX(C53:F53)&gt;'项目总表'!$B$55+0.000001,"超负荷","未超上限")</x:f>
        <x:v>未超上限</x:v>
      </x:c>
    </x:row>
    <x:row r="54" ht="58" customHeight="1">
      <x:c r="A54" s="42" t="n">
        <x:f>WORKDAY('项目总表'!$B$15-1,26)</x:f>
        <x:v>46349</x:v>
      </x:c>
      <x:c r="B54" s="29" t="n">
        <x:f>INT((A54-'项目总表'!$B$15)/7)+1</x:f>
        <x:v>6</x:v>
      </x:c>
      <x:c r="C54" s="33" t="n">
        <x:f>SUMIFS('任务与甘特'!$AH$7:$AH$50,'任务与甘特'!$T$7:$T$50,"&lt;="&amp;$A54,'任务与甘特'!$U$7:$U$50,"&gt;="&amp;$A54)</x:f>
        <x:v>8</x:v>
      </x:c>
      <x:c r="D54" s="33" t="n">
        <x:f>SUMIFS('任务与甘特'!$AI$7:$AI$50,'任务与甘特'!$T$7:$T$50,"&lt;="&amp;$A54,'任务与甘特'!$U$7:$U$50,"&gt;="&amp;$A54)</x:f>
        <x:v>7</x:v>
      </x:c>
      <x:c r="E54" s="33" t="n">
        <x:f>SUMIFS('任务与甘特'!$AJ$7:$AJ$50,'任务与甘特'!$T$7:$T$50,"&lt;="&amp;$A54,'任务与甘特'!$U$7:$U$50,"&gt;="&amp;$A54)</x:f>
        <x:v>4</x:v>
      </x:c>
      <x:c r="F54" s="33" t="n">
        <x:f>SUMIFS('任务与甘特'!$AK$7:$AK$50,'任务与甘特'!$T$7:$T$50,"&lt;="&amp;$A54,'任务与甘特'!$U$7:$U$50,"&gt;="&amp;$A54)</x:f>
        <x:v>7</x:v>
      </x:c>
      <x:c r="G54" s="33" t="n">
        <x:f>SUM(C54:F54)</x:f>
        <x:v>26</x:v>
      </x:c>
      <x:c r="H54" s="29" t="str">
        <x:f>IF(MAX(C54:F54)&gt;'项目总表'!$B$55+0.000001,"超负荷","未超上限")</x:f>
        <x:v>未超上限</x:v>
      </x:c>
    </x:row>
    <x:row r="55" ht="58" customHeight="1">
      <x:c r="A55" s="42" t="n">
        <x:f>WORKDAY('项目总表'!$B$15-1,27)</x:f>
        <x:v>46350</x:v>
      </x:c>
      <x:c r="B55" s="29" t="n">
        <x:f>INT((A55-'项目总表'!$B$15)/7)+1</x:f>
        <x:v>6</x:v>
      </x:c>
      <x:c r="C55" s="33" t="n">
        <x:f>SUMIFS('任务与甘特'!$AH$7:$AH$50,'任务与甘特'!$T$7:$T$50,"&lt;="&amp;$A55,'任务与甘特'!$U$7:$U$50,"&gt;="&amp;$A55)</x:f>
        <x:v>8</x:v>
      </x:c>
      <x:c r="D55" s="33" t="n">
        <x:f>SUMIFS('任务与甘特'!$AI$7:$AI$50,'任务与甘特'!$T$7:$T$50,"&lt;="&amp;$A55,'任务与甘特'!$U$7:$U$50,"&gt;="&amp;$A55)</x:f>
        <x:v>7</x:v>
      </x:c>
      <x:c r="E55" s="33" t="n">
        <x:f>SUMIFS('任务与甘特'!$AJ$7:$AJ$50,'任务与甘特'!$T$7:$T$50,"&lt;="&amp;$A55,'任务与甘特'!$U$7:$U$50,"&gt;="&amp;$A55)</x:f>
        <x:v>4</x:v>
      </x:c>
      <x:c r="F55" s="33" t="n">
        <x:f>SUMIFS('任务与甘特'!$AK$7:$AK$50,'任务与甘特'!$T$7:$T$50,"&lt;="&amp;$A55,'任务与甘特'!$U$7:$U$50,"&gt;="&amp;$A55)</x:f>
        <x:v>7</x:v>
      </x:c>
      <x:c r="G55" s="33" t="n">
        <x:f>SUM(C55:F55)</x:f>
        <x:v>26</x:v>
      </x:c>
      <x:c r="H55" s="29" t="str">
        <x:f>IF(MAX(C55:F55)&gt;'项目总表'!$B$55+0.000001,"超负荷","未超上限")</x:f>
        <x:v>未超上限</x:v>
      </x:c>
    </x:row>
    <x:row r="56" ht="58" customHeight="1">
      <x:c r="A56" s="42" t="n">
        <x:f>WORKDAY('项目总表'!$B$15-1,28)</x:f>
        <x:v>46351</x:v>
      </x:c>
      <x:c r="B56" s="29" t="n">
        <x:f>INT((A56-'项目总表'!$B$15)/7)+1</x:f>
        <x:v>6</x:v>
      </x:c>
      <x:c r="C56" s="33" t="n">
        <x:f>SUMIFS('任务与甘特'!$AH$7:$AH$50,'任务与甘特'!$T$7:$T$50,"&lt;="&amp;$A56,'任务与甘特'!$U$7:$U$50,"&gt;="&amp;$A56)</x:f>
        <x:v>4.333333333333334</x:v>
      </x:c>
      <x:c r="D56" s="33" t="n">
        <x:f>SUMIFS('任务与甘特'!$AI$7:$AI$50,'任务与甘特'!$T$7:$T$50,"&lt;="&amp;$A56,'任务与甘特'!$U$7:$U$50,"&gt;="&amp;$A56)</x:f>
        <x:v>8</x:v>
      </x:c>
      <x:c r="E56" s="33" t="n">
        <x:f>SUMIFS('任务与甘特'!$AJ$7:$AJ$50,'任务与甘特'!$T$7:$T$50,"&lt;="&amp;$A56,'任务与甘特'!$U$7:$U$50,"&gt;="&amp;$A56)</x:f>
        <x:v>6.666666666666666</x:v>
      </x:c>
      <x:c r="F56" s="33" t="n">
        <x:f>SUMIFS('任务与甘特'!$AK$7:$AK$50,'任务与甘特'!$T$7:$T$50,"&lt;="&amp;$A56,'任务与甘特'!$U$7:$U$50,"&gt;="&amp;$A56)</x:f>
        <x:v>7.333333333333333</x:v>
      </x:c>
      <x:c r="G56" s="33" t="n">
        <x:f>SUM(C56:F56)</x:f>
        <x:v>26.333333333333332</x:v>
      </x:c>
      <x:c r="H56" s="29" t="str">
        <x:f>IF(MAX(C56:F56)&gt;'项目总表'!$B$55+0.000001,"超负荷","未超上限")</x:f>
        <x:v>未超上限</x:v>
      </x:c>
    </x:row>
    <x:row r="57" ht="58" customHeight="1">
      <x:c r="A57" s="42" t="n">
        <x:f>WORKDAY('项目总表'!$B$15-1,29)</x:f>
        <x:v>46352</x:v>
      </x:c>
      <x:c r="B57" s="29" t="n">
        <x:f>INT((A57-'项目总表'!$B$15)/7)+1</x:f>
        <x:v>6</x:v>
      </x:c>
      <x:c r="C57" s="33" t="n">
        <x:f>SUMIFS('任务与甘特'!$AH$7:$AH$50,'任务与甘特'!$T$7:$T$50,"&lt;="&amp;$A57,'任务与甘特'!$U$7:$U$50,"&gt;="&amp;$A57)</x:f>
        <x:v>4.333333333333334</x:v>
      </x:c>
      <x:c r="D57" s="33" t="n">
        <x:f>SUMIFS('任务与甘特'!$AI$7:$AI$50,'任务与甘特'!$T$7:$T$50,"&lt;="&amp;$A57,'任务与甘特'!$U$7:$U$50,"&gt;="&amp;$A57)</x:f>
        <x:v>8</x:v>
      </x:c>
      <x:c r="E57" s="33" t="n">
        <x:f>SUMIFS('任务与甘特'!$AJ$7:$AJ$50,'任务与甘特'!$T$7:$T$50,"&lt;="&amp;$A57,'任务与甘特'!$U$7:$U$50,"&gt;="&amp;$A57)</x:f>
        <x:v>6.666666666666666</x:v>
      </x:c>
      <x:c r="F57" s="33" t="n">
        <x:f>SUMIFS('任务与甘特'!$AK$7:$AK$50,'任务与甘特'!$T$7:$T$50,"&lt;="&amp;$A57,'任务与甘特'!$U$7:$U$50,"&gt;="&amp;$A57)</x:f>
        <x:v>7.333333333333333</x:v>
      </x:c>
      <x:c r="G57" s="33" t="n">
        <x:f>SUM(C57:F57)</x:f>
        <x:v>26.333333333333332</x:v>
      </x:c>
      <x:c r="H57" s="29" t="str">
        <x:f>IF(MAX(C57:F57)&gt;'项目总表'!$B$55+0.000001,"超负荷","未超上限")</x:f>
        <x:v>未超上限</x:v>
      </x:c>
    </x:row>
    <x:row r="58" ht="58" customHeight="1">
      <x:c r="A58" s="42" t="n">
        <x:f>WORKDAY('项目总表'!$B$15-1,30)</x:f>
        <x:v>46353</x:v>
      </x:c>
      <x:c r="B58" s="29" t="n">
        <x:f>INT((A58-'项目总表'!$B$15)/7)+1</x:f>
        <x:v>6</x:v>
      </x:c>
      <x:c r="C58" s="33" t="n">
        <x:f>SUMIFS('任务与甘特'!$AH$7:$AH$50,'任务与甘特'!$T$7:$T$50,"&lt;="&amp;$A58,'任务与甘特'!$U$7:$U$50,"&gt;="&amp;$A58)</x:f>
        <x:v>5.333333333333334</x:v>
      </x:c>
      <x:c r="D58" s="33" t="n">
        <x:f>SUMIFS('任务与甘特'!$AI$7:$AI$50,'任务与甘特'!$T$7:$T$50,"&lt;="&amp;$A58,'任务与甘特'!$U$7:$U$50,"&gt;="&amp;$A58)</x:f>
        <x:v>7</x:v>
      </x:c>
      <x:c r="E58" s="33" t="n">
        <x:f>SUMIFS('任务与甘特'!$AJ$7:$AJ$50,'任务与甘特'!$T$7:$T$50,"&lt;="&amp;$A58,'任务与甘特'!$U$7:$U$50,"&gt;="&amp;$A58)</x:f>
        <x:v>2.6666666666666665</x:v>
      </x:c>
      <x:c r="F58" s="33" t="n">
        <x:f>SUMIFS('任务与甘特'!$AK$7:$AK$50,'任务与甘特'!$T$7:$T$50,"&lt;="&amp;$A58,'任务与甘特'!$U$7:$U$50,"&gt;="&amp;$A58)</x:f>
        <x:v>7.333333333333333</x:v>
      </x:c>
      <x:c r="G58" s="33" t="n">
        <x:f>SUM(C58:F58)</x:f>
        <x:v>22.333333333333332</x:v>
      </x:c>
      <x:c r="H58" s="29" t="str">
        <x:f>IF(MAX(C58:F58)&gt;'项目总表'!$B$55+0.000001,"超负荷","未超上限")</x:f>
        <x:v>未超上限</x:v>
      </x:c>
    </x:row>
    <x:row r="59" ht="58" customHeight="1">
      <x:c r="A59" s="42" t="n">
        <x:f>WORKDAY('项目总表'!$B$15-1,31)</x:f>
        <x:v>46356</x:v>
      </x:c>
      <x:c r="B59" s="29" t="n">
        <x:f>INT((A59-'项目总表'!$B$15)/7)+1</x:f>
        <x:v>7</x:v>
      </x:c>
      <x:c r="C59" s="33" t="n">
        <x:f>SUMIFS('任务与甘特'!$AH$7:$AH$50,'任务与甘特'!$T$7:$T$50,"&lt;="&amp;$A59,'任务与甘特'!$U$7:$U$50,"&gt;="&amp;$A59)</x:f>
        <x:v>7.666666666666666</x:v>
      </x:c>
      <x:c r="D59" s="33" t="n">
        <x:f>SUMIFS('任务与甘特'!$AI$7:$AI$50,'任务与甘特'!$T$7:$T$50,"&lt;="&amp;$A59,'任务与甘特'!$U$7:$U$50,"&gt;="&amp;$A59)</x:f>
        <x:v>4.666666666666666</x:v>
      </x:c>
      <x:c r="E59" s="33" t="n">
        <x:f>SUMIFS('任务与甘特'!$AJ$7:$AJ$50,'任务与甘特'!$T$7:$T$50,"&lt;="&amp;$A59,'任务与甘特'!$U$7:$U$50,"&gt;="&amp;$A59)</x:f>
        <x:v>4.666666666666666</x:v>
      </x:c>
      <x:c r="F59" s="33" t="n">
        <x:f>SUMIFS('任务与甘特'!$AK$7:$AK$50,'任务与甘特'!$T$7:$T$50,"&lt;="&amp;$A59,'任务与甘特'!$U$7:$U$50,"&gt;="&amp;$A59)</x:f>
        <x:v>8</x:v>
      </x:c>
      <x:c r="G59" s="33" t="n">
        <x:f>SUM(C59:F59)</x:f>
        <x:v>25</x:v>
      </x:c>
      <x:c r="H59" s="29" t="str">
        <x:f>IF(MAX(C59:F59)&gt;'项目总表'!$B$55+0.000001,"超负荷","未超上限")</x:f>
        <x:v>未超上限</x:v>
      </x:c>
    </x:row>
    <x:row r="60" ht="58" customHeight="1">
      <x:c r="A60" s="42" t="n">
        <x:f>WORKDAY('项目总表'!$B$15-1,32)</x:f>
        <x:v>46357</x:v>
      </x:c>
      <x:c r="B60" s="29" t="n">
        <x:f>INT((A60-'项目总表'!$B$15)/7)+1</x:f>
        <x:v>7</x:v>
      </x:c>
      <x:c r="C60" s="33" t="n">
        <x:f>SUMIFS('任务与甘特'!$AH$7:$AH$50,'任务与甘特'!$T$7:$T$50,"&lt;="&amp;$A60,'任务与甘特'!$U$7:$U$50,"&gt;="&amp;$A60)</x:f>
        <x:v>7.666666666666666</x:v>
      </x:c>
      <x:c r="D60" s="33" t="n">
        <x:f>SUMIFS('任务与甘特'!$AI$7:$AI$50,'任务与甘特'!$T$7:$T$50,"&lt;="&amp;$A60,'任务与甘特'!$U$7:$U$50,"&gt;="&amp;$A60)</x:f>
        <x:v>4.666666666666666</x:v>
      </x:c>
      <x:c r="E60" s="33" t="n">
        <x:f>SUMIFS('任务与甘特'!$AJ$7:$AJ$50,'任务与甘特'!$T$7:$T$50,"&lt;="&amp;$A60,'任务与甘特'!$U$7:$U$50,"&gt;="&amp;$A60)</x:f>
        <x:v>4.666666666666666</x:v>
      </x:c>
      <x:c r="F60" s="33" t="n">
        <x:f>SUMIFS('任务与甘特'!$AK$7:$AK$50,'任务与甘特'!$T$7:$T$50,"&lt;="&amp;$A60,'任务与甘特'!$U$7:$U$50,"&gt;="&amp;$A60)</x:f>
        <x:v>8</x:v>
      </x:c>
      <x:c r="G60" s="33" t="n">
        <x:f>SUM(C60:F60)</x:f>
        <x:v>25</x:v>
      </x:c>
      <x:c r="H60" s="29" t="str">
        <x:f>IF(MAX(C60:F60)&gt;'项目总表'!$B$55+0.000001,"超负荷","未超上限")</x:f>
        <x:v>未超上限</x:v>
      </x:c>
    </x:row>
    <x:row r="61" ht="58" customHeight="1">
      <x:c r="A61" s="42" t="n">
        <x:f>WORKDAY('项目总表'!$B$15-1,33)</x:f>
        <x:v>46358</x:v>
      </x:c>
      <x:c r="B61" s="29" t="n">
        <x:f>INT((A61-'项目总表'!$B$15)/7)+1</x:f>
        <x:v>7</x:v>
      </x:c>
      <x:c r="C61" s="33" t="n">
        <x:f>SUMIFS('任务与甘特'!$AH$7:$AH$50,'任务与甘特'!$T$7:$T$50,"&lt;="&amp;$A61,'任务与甘特'!$U$7:$U$50,"&gt;="&amp;$A61)</x:f>
        <x:v>7.666666666666666</x:v>
      </x:c>
      <x:c r="D61" s="33" t="n">
        <x:f>SUMIFS('任务与甘特'!$AI$7:$AI$50,'任务与甘特'!$T$7:$T$50,"&lt;="&amp;$A61,'任务与甘特'!$U$7:$U$50,"&gt;="&amp;$A61)</x:f>
        <x:v>4.666666666666666</x:v>
      </x:c>
      <x:c r="E61" s="33" t="n">
        <x:f>SUMIFS('任务与甘特'!$AJ$7:$AJ$50,'任务与甘特'!$T$7:$T$50,"&lt;="&amp;$A61,'任务与甘特'!$U$7:$U$50,"&gt;="&amp;$A61)</x:f>
        <x:v>4.666666666666666</x:v>
      </x:c>
      <x:c r="F61" s="33" t="n">
        <x:f>SUMIFS('任务与甘特'!$AK$7:$AK$50,'任务与甘特'!$T$7:$T$50,"&lt;="&amp;$A61,'任务与甘特'!$U$7:$U$50,"&gt;="&amp;$A61)</x:f>
        <x:v>8</x:v>
      </x:c>
      <x:c r="G61" s="33" t="n">
        <x:f>SUM(C61:F61)</x:f>
        <x:v>25</x:v>
      </x:c>
      <x:c r="H61" s="29" t="str">
        <x:f>IF(MAX(C61:F61)&gt;'项目总表'!$B$55+0.000001,"超负荷","未超上限")</x:f>
        <x:v>未超上限</x:v>
      </x:c>
    </x:row>
    <x:row r="62" ht="58" customHeight="1">
      <x:c r="A62" s="42" t="n">
        <x:f>WORKDAY('项目总表'!$B$15-1,34)</x:f>
        <x:v>46359</x:v>
      </x:c>
      <x:c r="B62" s="29" t="n">
        <x:f>INT((A62-'项目总表'!$B$15)/7)+1</x:f>
        <x:v>7</x:v>
      </x:c>
      <x:c r="C62" s="33" t="n">
        <x:f>SUMIFS('任务与甘特'!$AH$7:$AH$50,'任务与甘特'!$T$7:$T$50,"&lt;="&amp;$A62,'任务与甘特'!$U$7:$U$50,"&gt;="&amp;$A62)</x:f>
        <x:v>7.333333333333334</x:v>
      </x:c>
      <x:c r="D62" s="33" t="n">
        <x:f>SUMIFS('任务与甘特'!$AI$7:$AI$50,'任务与甘特'!$T$7:$T$50,"&lt;="&amp;$A62,'任务与甘特'!$U$7:$U$50,"&gt;="&amp;$A62)</x:f>
        <x:v>6.333333333333333</x:v>
      </x:c>
      <x:c r="E62" s="33" t="n">
        <x:f>SUMIFS('任务与甘特'!$AJ$7:$AJ$50,'任务与甘特'!$T$7:$T$50,"&lt;="&amp;$A62,'任务与甘特'!$U$7:$U$50,"&gt;="&amp;$A62)</x:f>
        <x:v>7.333333333333333</x:v>
      </x:c>
      <x:c r="F62" s="33" t="n">
        <x:f>SUMIFS('任务与甘特'!$AK$7:$AK$50,'任务与甘特'!$T$7:$T$50,"&lt;="&amp;$A62,'任务与甘特'!$U$7:$U$50,"&gt;="&amp;$A62)</x:f>
        <x:v>6.666666666666667</x:v>
      </x:c>
      <x:c r="G62" s="33" t="n">
        <x:f>SUM(C62:F62)</x:f>
        <x:v>27.666666666666668</x:v>
      </x:c>
      <x:c r="H62" s="29" t="str">
        <x:f>IF(MAX(C62:F62)&gt;'项目总表'!$B$55+0.000001,"超负荷","未超上限")</x:f>
        <x:v>未超上限</x:v>
      </x:c>
    </x:row>
    <x:row r="63" ht="58" customHeight="1">
      <x:c r="A63" s="42" t="n">
        <x:f>WORKDAY('项目总表'!$B$15-1,35)</x:f>
        <x:v>46360</x:v>
      </x:c>
      <x:c r="B63" s="29" t="n">
        <x:f>INT((A63-'项目总表'!$B$15)/7)+1</x:f>
        <x:v>7</x:v>
      </x:c>
      <x:c r="C63" s="33" t="n">
        <x:f>SUMIFS('任务与甘特'!$AH$7:$AH$50,'任务与甘特'!$T$7:$T$50,"&lt;="&amp;$A63,'任务与甘特'!$U$7:$U$50,"&gt;="&amp;$A63)</x:f>
        <x:v>4.333333333333334</x:v>
      </x:c>
      <x:c r="D63" s="33" t="n">
        <x:f>SUMIFS('任务与甘特'!$AI$7:$AI$50,'任务与甘特'!$T$7:$T$50,"&lt;="&amp;$A63,'任务与甘特'!$U$7:$U$50,"&gt;="&amp;$A63)</x:f>
        <x:v>5.333333333333333</x:v>
      </x:c>
      <x:c r="E63" s="33" t="n">
        <x:f>SUMIFS('任务与甘特'!$AJ$7:$AJ$50,'任务与甘特'!$T$7:$T$50,"&lt;="&amp;$A63,'任务与甘特'!$U$7:$U$50,"&gt;="&amp;$A63)</x:f>
        <x:v>5.333333333333333</x:v>
      </x:c>
      <x:c r="F63" s="33" t="n">
        <x:f>SUMIFS('任务与甘特'!$AK$7:$AK$50,'任务与甘特'!$T$7:$T$50,"&lt;="&amp;$A63,'任务与甘特'!$U$7:$U$50,"&gt;="&amp;$A63)</x:f>
        <x:v>4.666666666666667</x:v>
      </x:c>
      <x:c r="G63" s="33" t="n">
        <x:f>SUM(C63:F63)</x:f>
        <x:v>19.666666666666668</x:v>
      </x:c>
      <x:c r="H63" s="29" t="str">
        <x:f>IF(MAX(C63:F63)&gt;'项目总表'!$B$55+0.000001,"超负荷","未超上限")</x:f>
        <x:v>未超上限</x:v>
      </x:c>
    </x:row>
    <x:row r="64" ht="58" customHeight="1">
      <x:c r="A64" s="42" t="n">
        <x:f>WORKDAY('项目总表'!$B$15-1,36)</x:f>
        <x:v>46363</x:v>
      </x:c>
      <x:c r="B64" s="29" t="n">
        <x:f>INT((A64-'项目总表'!$B$15)/7)+1</x:f>
        <x:v>8</x:v>
      </x:c>
      <x:c r="C64" s="33" t="n">
        <x:f>SUMIFS('任务与甘特'!$AH$7:$AH$50,'任务与甘特'!$T$7:$T$50,"&lt;="&amp;$A64,'任务与甘特'!$U$7:$U$50,"&gt;="&amp;$A64)</x:f>
        <x:v>4.333333333333334</x:v>
      </x:c>
      <x:c r="D64" s="33" t="n">
        <x:f>SUMIFS('任务与甘特'!$AI$7:$AI$50,'任务与甘特'!$T$7:$T$50,"&lt;="&amp;$A64,'任务与甘特'!$U$7:$U$50,"&gt;="&amp;$A64)</x:f>
        <x:v>5.333333333333333</x:v>
      </x:c>
      <x:c r="E64" s="33" t="n">
        <x:f>SUMIFS('任务与甘特'!$AJ$7:$AJ$50,'任务与甘特'!$T$7:$T$50,"&lt;="&amp;$A64,'任务与甘特'!$U$7:$U$50,"&gt;="&amp;$A64)</x:f>
        <x:v>5.333333333333333</x:v>
      </x:c>
      <x:c r="F64" s="33" t="n">
        <x:f>SUMIFS('任务与甘特'!$AK$7:$AK$50,'任务与甘特'!$T$7:$T$50,"&lt;="&amp;$A64,'任务与甘特'!$U$7:$U$50,"&gt;="&amp;$A64)</x:f>
        <x:v>4.666666666666667</x:v>
      </x:c>
      <x:c r="G64" s="33" t="n">
        <x:f>SUM(C64:F64)</x:f>
        <x:v>19.666666666666668</x:v>
      </x:c>
      <x:c r="H64" s="29" t="str">
        <x:f>IF(MAX(C64:F64)&gt;'项目总表'!$B$55+0.000001,"超负荷","未超上限")</x:f>
        <x:v>未超上限</x:v>
      </x:c>
    </x:row>
    <x:row r="65" ht="58" customHeight="1">
      <x:c r="A65" s="42" t="n">
        <x:f>WORKDAY('项目总表'!$B$15-1,37)</x:f>
        <x:v>46364</x:v>
      </x:c>
      <x:c r="B65" s="29" t="n">
        <x:f>INT((A65-'项目总表'!$B$15)/7)+1</x:f>
        <x:v>8</x:v>
      </x:c>
      <x:c r="C65" s="33" t="n">
        <x:f>SUMIFS('任务与甘特'!$AH$7:$AH$50,'任务与甘特'!$T$7:$T$50,"&lt;="&amp;$A65,'任务与甘特'!$U$7:$U$50,"&gt;="&amp;$A65)</x:f>
        <x:v>6</x:v>
      </x:c>
      <x:c r="D65" s="33" t="n">
        <x:f>SUMIFS('任务与甘特'!$AI$7:$AI$50,'任务与甘特'!$T$7:$T$50,"&lt;="&amp;$A65,'任务与甘特'!$U$7:$U$50,"&gt;="&amp;$A65)</x:f>
        <x:v>3</x:v>
      </x:c>
      <x:c r="E65" s="33" t="n">
        <x:f>SUMIFS('任务与甘特'!$AJ$7:$AJ$50,'任务与甘特'!$T$7:$T$50,"&lt;="&amp;$A65,'任务与甘特'!$U$7:$U$50,"&gt;="&amp;$A65)</x:f>
        <x:v>3</x:v>
      </x:c>
      <x:c r="F65" s="33" t="n">
        <x:f>SUMIFS('任务与甘特'!$AK$7:$AK$50,'任务与甘特'!$T$7:$T$50,"&lt;="&amp;$A65,'任务与甘特'!$U$7:$U$50,"&gt;="&amp;$A65)</x:f>
        <x:v>7</x:v>
      </x:c>
      <x:c r="G65" s="33" t="n">
        <x:f>SUM(C65:F65)</x:f>
        <x:v>19</x:v>
      </x:c>
      <x:c r="H65" s="29" t="str">
        <x:f>IF(MAX(C65:F65)&gt;'项目总表'!$B$55+0.000001,"超负荷","未超上限")</x:f>
        <x:v>未超上限</x:v>
      </x:c>
    </x:row>
    <x:row r="66" ht="58" customHeight="1">
      <x:c r="A66" s="42" t="n">
        <x:f>WORKDAY('项目总表'!$B$15-1,38)</x:f>
        <x:v>46365</x:v>
      </x:c>
      <x:c r="B66" s="29" t="n">
        <x:f>INT((A66-'项目总表'!$B$15)/7)+1</x:f>
        <x:v>8</x:v>
      </x:c>
      <x:c r="C66" s="33" t="n">
        <x:f>SUMIFS('任务与甘特'!$AH$7:$AH$50,'任务与甘特'!$T$7:$T$50,"&lt;="&amp;$A66,'任务与甘特'!$U$7:$U$50,"&gt;="&amp;$A66)</x:f>
        <x:v>6</x:v>
      </x:c>
      <x:c r="D66" s="33" t="n">
        <x:f>SUMIFS('任务与甘特'!$AI$7:$AI$50,'任务与甘特'!$T$7:$T$50,"&lt;="&amp;$A66,'任务与甘特'!$U$7:$U$50,"&gt;="&amp;$A66)</x:f>
        <x:v>3</x:v>
      </x:c>
      <x:c r="E66" s="33" t="n">
        <x:f>SUMIFS('任务与甘特'!$AJ$7:$AJ$50,'任务与甘特'!$T$7:$T$50,"&lt;="&amp;$A66,'任务与甘特'!$U$7:$U$50,"&gt;="&amp;$A66)</x:f>
        <x:v>3</x:v>
      </x:c>
      <x:c r="F66" s="33" t="n">
        <x:f>SUMIFS('任务与甘特'!$AK$7:$AK$50,'任务与甘特'!$T$7:$T$50,"&lt;="&amp;$A66,'任务与甘特'!$U$7:$U$50,"&gt;="&amp;$A66)</x:f>
        <x:v>7</x:v>
      </x:c>
      <x:c r="G66" s="33" t="n">
        <x:f>SUM(C66:F66)</x:f>
        <x:v>19</x:v>
      </x:c>
      <x:c r="H66" s="29" t="str">
        <x:f>IF(MAX(C66:F66)&gt;'项目总表'!$B$55+0.000001,"超负荷","未超上限")</x:f>
        <x:v>未超上限</x:v>
      </x:c>
    </x:row>
    <x:row r="67" ht="58" customHeight="1">
      <x:c r="A67" s="42" t="n">
        <x:f>WORKDAY('项目总表'!$B$15-1,39)</x:f>
        <x:v>46366</x:v>
      </x:c>
      <x:c r="B67" s="29" t="n">
        <x:f>INT((A67-'项目总表'!$B$15)/7)+1</x:f>
        <x:v>8</x:v>
      </x:c>
      <x:c r="C67" s="33" t="n">
        <x:f>SUMIFS('任务与甘特'!$AH$7:$AH$50,'任务与甘特'!$T$7:$T$50,"&lt;="&amp;$A67,'任务与甘特'!$U$7:$U$50,"&gt;="&amp;$A67)</x:f>
        <x:v>5</x:v>
      </x:c>
      <x:c r="D67" s="33" t="n">
        <x:f>SUMIFS('任务与甘特'!$AI$7:$AI$50,'任务与甘特'!$T$7:$T$50,"&lt;="&amp;$A67,'任务与甘特'!$U$7:$U$50,"&gt;="&amp;$A67)</x:f>
        <x:v>0</x:v>
      </x:c>
      <x:c r="E67" s="33" t="n">
        <x:f>SUMIFS('任务与甘特'!$AJ$7:$AJ$50,'任务与甘特'!$T$7:$T$50,"&lt;="&amp;$A67,'任务与甘特'!$U$7:$U$50,"&gt;="&amp;$A67)</x:f>
        <x:v>2</x:v>
      </x:c>
      <x:c r="F67" s="33" t="n">
        <x:f>SUMIFS('任务与甘特'!$AK$7:$AK$50,'任务与甘特'!$T$7:$T$50,"&lt;="&amp;$A67,'任务与甘特'!$U$7:$U$50,"&gt;="&amp;$A67)</x:f>
        <x:v>2</x:v>
      </x:c>
      <x:c r="G67" s="33" t="n">
        <x:f>SUM(C67:F67)</x:f>
        <x:v>9</x:v>
      </x:c>
      <x:c r="H67" s="29" t="str">
        <x:f>IF(MAX(C67:F67)&gt;'项目总表'!$B$55+0.000001,"超负荷","未超上限")</x:f>
        <x:v>未超上限</x:v>
      </x:c>
    </x:row>
    <x:row r="68" ht="58" customHeight="1">
      <x:c r="A68" s="42" t="n">
        <x:f>WORKDAY('项目总表'!$B$15-1,40)</x:f>
        <x:v>46367</x:v>
      </x:c>
      <x:c r="B68" s="29" t="n">
        <x:f>INT((A68-'项目总表'!$B$15)/7)+1</x:f>
        <x:v>8</x:v>
      </x:c>
      <x:c r="C68" s="33" t="n">
        <x:f>SUMIFS('任务与甘特'!$AH$7:$AH$50,'任务与甘特'!$T$7:$T$50,"&lt;="&amp;$A68,'任务与甘特'!$U$7:$U$50,"&gt;="&amp;$A68)</x:f>
        <x:v>8</x:v>
      </x:c>
      <x:c r="D68" s="33" t="n">
        <x:f>SUMIFS('任务与甘特'!$AI$7:$AI$50,'任务与甘特'!$T$7:$T$50,"&lt;="&amp;$A68,'任务与甘特'!$U$7:$U$50,"&gt;="&amp;$A68)</x:f>
        <x:v>2</x:v>
      </x:c>
      <x:c r="E68" s="33" t="n">
        <x:f>SUMIFS('任务与甘特'!$AJ$7:$AJ$50,'任务与甘特'!$T$7:$T$50,"&lt;="&amp;$A68,'任务与甘特'!$U$7:$U$50,"&gt;="&amp;$A68)</x:f>
        <x:v>2</x:v>
      </x:c>
      <x:c r="F68" s="33" t="n">
        <x:f>SUMIFS('任务与甘特'!$AK$7:$AK$50,'任务与甘特'!$T$7:$T$50,"&lt;="&amp;$A68,'任务与甘特'!$U$7:$U$50,"&gt;="&amp;$A68)</x:f>
        <x:v>8</x:v>
      </x:c>
      <x:c r="G68" s="33" t="n">
        <x:f>SUM(C68:F68)</x:f>
        <x:v>20</x:v>
      </x:c>
      <x:c r="H68" s="29" t="str">
        <x:f>IF(MAX(C68:F68)&gt;'项目总表'!$B$55+0.000001,"超负荷","未超上限")</x:f>
        <x:v>未超上限</x:v>
      </x:c>
    </x:row>
  </x:sheetData>
  <x:dataValidations count="1">
    <x:dataValidation type="list" sqref="A8:A12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" hidden="0" customWidth="1"/>
    <x:col min="2" max="2" width="11.25" hidden="0" customWidth="1"/>
    <x:col min="3" max="3" width="30.6299991607666" hidden="0" customWidth="1"/>
    <x:col min="4" max="4" width="15" hidden="0" customWidth="1"/>
    <x:col min="5" max="5" width="13.75" hidden="0" customWidth="1"/>
    <x:col min="6" max="6" width="13.75" hidden="0" customWidth="1"/>
    <x:col min="7" max="7" width="15" hidden="0" customWidth="1"/>
    <x:col min="8" max="8" width="15.63000011444091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5.630000114440918" hidden="0" customWidth="1"/>
    <x:col min="18" max="18" width="15.630000114440918" hidden="0" customWidth="1"/>
    <x:col min="19" max="19" width="47.5" hidden="0" customWidth="1"/>
  </x:cols>
  <x:sheetData>
    <x:row r="1" ht="3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6" t="str">
        <x:v>成本估算与分周预算（仿真人民币元）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 ht="30" customHeight="1">
      <x:c r="A3" s="8" t="str">
        <x:v>成本控制基准不含管理储备；总预算包含10%管理储备。全部为教学估算，实际支出未发生。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30" customHeight="1">
      <x:c r="A4" s="8" t="str">
        <x:v>人工随任务工作量、费率与排期联动；C11为5%一般管理分摊，C14为独立共享储备，避免重复计费。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3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 ht="3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 ht="38" customHeight="1">
      <x:c r="A7" s="11" t="str">
        <x:v>费用ID</x:v>
      </x:c>
      <x:c r="B7" s="11" t="str">
        <x:v>适用（是/否）</x:v>
      </x:c>
      <x:c r="C7" s="11" t="str">
        <x:v>费用项目</x:v>
      </x:c>
      <x:c r="D7" s="11" t="str">
        <x:v>成本类别</x:v>
      </x:c>
      <x:c r="E7" s="11" t="str">
        <x:v>计费单位</x:v>
      </x:c>
      <x:c r="F7" s="11" t="str">
        <x:v>数量/储备比例</x:v>
      </x:c>
      <x:c r="G7" s="11" t="str">
        <x:v>单价/储备（元）</x:v>
      </x:c>
      <x:c r="H7" s="11" t="str">
        <x:v>估算金额（元）</x:v>
      </x:c>
      <x:c r="I7" s="11" t="str">
        <x:v>W1预算</x:v>
      </x:c>
      <x:c r="J7" s="11" t="str">
        <x:v>W2预算</x:v>
      </x:c>
      <x:c r="K7" s="11" t="str">
        <x:v>W3预算</x:v>
      </x:c>
      <x:c r="L7" s="11" t="str">
        <x:v>W4预算</x:v>
      </x:c>
      <x:c r="M7" s="11" t="str">
        <x:v>W5预算</x:v>
      </x:c>
      <x:c r="N7" s="11" t="str">
        <x:v>W6预算</x:v>
      </x:c>
      <x:c r="O7" s="11" t="str">
        <x:v>W7预算</x:v>
      </x:c>
      <x:c r="P7" s="11" t="str">
        <x:v>W8预算</x:v>
      </x:c>
      <x:c r="Q7" s="11" t="str">
        <x:v>分周合计</x:v>
      </x:c>
      <x:c r="R7" s="11" t="str">
        <x:v>预算减估算</x:v>
      </x:c>
      <x:c r="S7" s="11" t="str">
        <x:v>估算依据/待确认事项</x:v>
      </x:c>
    </x:row>
    <x:row r="8" ht="70" customHeight="1">
      <x:c r="A8" s="9" t="str">
        <x:v>C01</x:v>
      </x:c>
      <x:c r="B8" s="9" t="str">
        <x:f>IF('资源计划'!A8="","",'资源计划'!A8)</x:f>
        <x:v>是</x:v>
      </x:c>
      <x:c r="C8" s="9" t="str">
        <x:v>R01直接人工</x:v>
      </x:c>
      <x:c r="D8" s="9" t="str">
        <x:v>直接人力</x:v>
      </x:c>
      <x:c r="E8" s="9" t="str">
        <x:v>人时</x:v>
      </x:c>
      <x:c r="F8" s="20" t="n">
        <x:f>IF(ISNUMBER('资源计划'!O8),'资源计划'!O8,"")</x:f>
        <x:v>243.00000000000003</x:v>
      </x:c>
      <x:c r="G8" s="20" t="n">
        <x:f>IF(ISNUMBER('资源计划'!F8),'资源计划'!F8,"")</x:f>
        <x:v>100</x:v>
      </x:c>
      <x:c r="H8" s="20" t="n">
        <x:f>IF(B8="否",0,IF(AND(B8="是",COUNT(F8:G8)=2),F8*G8,""))</x:f>
        <x:v>24300.000000000004</x:v>
      </x:c>
      <x:c r="I8" s="20" t="n">
        <x:f>IF(B8="否",0,IF(AND(B8="是",COUNT('资源计划'!G8,G8)=2),'资源计划'!G8*G8,""))</x:f>
        <x:v>3600</x:v>
      </x:c>
      <x:c r="J8" s="20" t="n">
        <x:f>IF(B8="否",0,IF(AND(B8="是",COUNT('资源计划'!H8,G8)=2),'资源计划'!H8*G8,""))</x:f>
        <x:v>2650.0000000000005</x:v>
      </x:c>
      <x:c r="K8" s="20" t="n">
        <x:f>IF(B8="否",0,IF(AND(B8="是",COUNT('资源计划'!I8,G8)=2),'资源计划'!I8*G8,""))</x:f>
        <x:v>2750</x:v>
      </x:c>
      <x:c r="L8" s="20" t="n">
        <x:f>IF(B8="否",0,IF(AND(B8="是",COUNT('资源计划'!J8,G8)=2),'资源计划'!J8*G8,""))</x:f>
        <x:v>2900</x:v>
      </x:c>
      <x:c r="M8" s="20" t="n">
        <x:f>IF(B8="否",0,IF(AND(B8="是",COUNT('资源计划'!K8,G8)=2),'资源计划'!K8*G8,""))</x:f>
        <x:v>3000</x:v>
      </x:c>
      <x:c r="N8" s="20" t="n">
        <x:f>IF(B8="否",0,IF(AND(B8="是",COUNT('资源计划'!L8,G8)=2),'资源计划'!L8*G8,""))</x:f>
        <x:v>3000.000000000001</x:v>
      </x:c>
      <x:c r="O8" s="20" t="n">
        <x:f>IF(B8="否",0,IF(AND(B8="是",COUNT('资源计划'!M8,G8)=2),'资源计划'!M8*G8,""))</x:f>
        <x:v>3466.666666666667</x:v>
      </x:c>
      <x:c r="P8" s="20" t="n">
        <x:f>IF(B8="否",0,IF(AND(B8="是",COUNT('资源计划'!N8,G8)=2),'资源计划'!N8*G8,""))</x:f>
        <x:v>2933.3333333333335</x:v>
      </x:c>
      <x:c r="Q8" s="20" t="n">
        <x:f>IF(B8="否",0,IF(AND(B8="是",COUNT(I8:P8)=8),SUM(I8:P8),""))</x:f>
        <x:v>24300</x:v>
      </x:c>
      <x:c r="R8" s="20" t="n">
        <x:f>IF(COUNT(H8,Q8)&lt;2,"",ROUND(Q8-H8,2))</x:f>
        <x:v>0</x:v>
      </x:c>
      <x:c r="S8" s="9" t="str">
        <x:v>任务分资源投入×仿真费率；按资源计划逐日/分周投入计，不含一般管理分摊。</x:v>
      </x:c>
    </x:row>
    <x:row r="9" ht="70" customHeight="1">
      <x:c r="A9" s="9" t="str">
        <x:v>C02</x:v>
      </x:c>
      <x:c r="B9" s="9" t="str">
        <x:f>IF('资源计划'!A9="","",'资源计划'!A9)</x:f>
        <x:v>是</x:v>
      </x:c>
      <x:c r="C9" s="9" t="str">
        <x:v>R02直接人工</x:v>
      </x:c>
      <x:c r="D9" s="9" t="str">
        <x:v>直接人力</x:v>
      </x:c>
      <x:c r="E9" s="9" t="str">
        <x:v>人时</x:v>
      </x:c>
      <x:c r="F9" s="20" t="n">
        <x:f>IF(ISNUMBER('资源计划'!O9),'资源计划'!O9,"")</x:f>
        <x:v>229</x:v>
      </x:c>
      <x:c r="G9" s="20" t="n">
        <x:f>IF(ISNUMBER('资源计划'!F9),'资源计划'!F9,"")</x:f>
        <x:v>120</x:v>
      </x:c>
      <x:c r="H9" s="20" t="n">
        <x:f>IF(B9="否",0,IF(AND(B9="是",COUNT(F9:G9)=2),F9*G9,""))</x:f>
        <x:v>27480</x:v>
      </x:c>
      <x:c r="I9" s="20" t="n">
        <x:f>IF(B9="否",0,IF(AND(B9="是",COUNT('资源计划'!G9,G9)=2),'资源计划'!G9*G9,""))</x:f>
        <x:v>3600</x:v>
      </x:c>
      <x:c r="J9" s="20" t="n">
        <x:f>IF(B9="否",0,IF(AND(B9="是",COUNT('资源计划'!H9,G9)=2),'资源计划'!H9*G9,""))</x:f>
        <x:v>2939.9999999999995</x:v>
      </x:c>
      <x:c r="K9" s="20" t="n">
        <x:f>IF(B9="否",0,IF(AND(B9="是",COUNT('资源计划'!I9,G9)=2),'资源计划'!I9*G9,""))</x:f>
        <x:v>3660</x:v>
      </x:c>
      <x:c r="L9" s="20" t="n">
        <x:f>IF(B9="否",0,IF(AND(B9="是",COUNT('资源计划'!J9,G9)=2),'资源计划'!J9*G9,""))</x:f>
        <x:v>4559.999999999999</x:v>
      </x:c>
      <x:c r="M9" s="20" t="n">
        <x:f>IF(B9="否",0,IF(AND(B9="是",COUNT('资源计划'!K9,G9)=2),'资源计划'!K9*G9,""))</x:f>
        <x:v>3600</x:v>
      </x:c>
      <x:c r="N9" s="20" t="n">
        <x:f>IF(B9="否",0,IF(AND(B9="是",COUNT('资源计划'!L9,G9)=2),'资源计划'!L9*G9,""))</x:f>
        <x:v>4440</x:v>
      </x:c>
      <x:c r="O9" s="20" t="n">
        <x:f>IF(B9="否",0,IF(AND(B9="是",COUNT('资源计划'!M9,G9)=2),'资源计划'!M9*G9,""))</x:f>
        <x:v>3079.9999999999995</x:v>
      </x:c>
      <x:c r="P9" s="20" t="n">
        <x:f>IF(B9="否",0,IF(AND(B9="是",COUNT('资源计划'!N9,G9)=2),'资源计划'!N9*G9,""))</x:f>
        <x:v>1599.9999999999998</x:v>
      </x:c>
      <x:c r="Q9" s="20" t="n">
        <x:f>IF(B9="否",0,IF(AND(B9="是",COUNT(I9:P9)=8),SUM(I9:P9),""))</x:f>
        <x:v>27480</x:v>
      </x:c>
      <x:c r="R9" s="20" t="n">
        <x:f>IF(COUNT(H9,Q9)&lt;2,"",ROUND(Q9-H9,2))</x:f>
        <x:v>0</x:v>
      </x:c>
      <x:c r="S9" s="9" t="str">
        <x:v>任务分资源投入×仿真费率；按资源计划逐日/分周投入计，不含一般管理分摊。</x:v>
      </x:c>
    </x:row>
    <x:row r="10" ht="70" customHeight="1">
      <x:c r="A10" s="9" t="str">
        <x:v>C03</x:v>
      </x:c>
      <x:c r="B10" s="9" t="str">
        <x:f>IF('资源计划'!A10="","",'资源计划'!A10)</x:f>
        <x:v>是</x:v>
      </x:c>
      <x:c r="C10" s="9" t="str">
        <x:v>R03直接人工</x:v>
      </x:c>
      <x:c r="D10" s="9" t="str">
        <x:v>直接人力</x:v>
      </x:c>
      <x:c r="E10" s="9" t="str">
        <x:v>人时</x:v>
      </x:c>
      <x:c r="F10" s="20" t="n">
        <x:f>IF(ISNUMBER('资源计划'!O10),'资源计划'!O10,"")</x:f>
        <x:v>182</x:v>
      </x:c>
      <x:c r="G10" s="20" t="n">
        <x:f>IF(ISNUMBER('资源计划'!F10),'资源计划'!F10,"")</x:f>
        <x:v>100</x:v>
      </x:c>
      <x:c r="H10" s="20" t="n">
        <x:f>IF(B10="否",0,IF(AND(B10="是",COUNT(F10:G10)=2),F10*G10,""))</x:f>
        <x:v>18200</x:v>
      </x:c>
      <x:c r="I10" s="20" t="n">
        <x:f>IF(B10="否",0,IF(AND(B10="是",COUNT('资源计划'!G10,G10)=2),'资源计划'!G10*G10,""))</x:f>
        <x:v>1600</x:v>
      </x:c>
      <x:c r="J10" s="20" t="n">
        <x:f>IF(B10="否",0,IF(AND(B10="是",COUNT('资源计划'!H10,G10)=2),'资源计划'!H10*G10,""))</x:f>
        <x:v>1550</x:v>
      </x:c>
      <x:c r="K10" s="20" t="n">
        <x:f>IF(B10="否",0,IF(AND(B10="是",COUNT('资源计划'!I10,G10)=2),'资源计划'!I10*G10,""))</x:f>
        <x:v>2950</x:v>
      </x:c>
      <x:c r="L10" s="20" t="n">
        <x:f>IF(B10="否",0,IF(AND(B10="是",COUNT('资源计划'!J10,G10)=2),'资源计划'!J10*G10,""))</x:f>
        <x:v>2766.666666666667</x:v>
      </x:c>
      <x:c r="M10" s="20" t="n">
        <x:f>IF(B10="否",0,IF(AND(B10="是",COUNT('资源计划'!K10,G10)=2),'资源计划'!K10*G10,""))</x:f>
        <x:v>2733.333333333333</x:v>
      </x:c>
      <x:c r="N10" s="20" t="n">
        <x:f>IF(B10="否",0,IF(AND(B10="是",COUNT('资源计划'!L10,G10)=2),'资源计划'!L10*G10,""))</x:f>
        <x:v>2400</x:v>
      </x:c>
      <x:c r="O10" s="20" t="n">
        <x:f>IF(B10="否",0,IF(AND(B10="是",COUNT('资源计划'!M10,G10)=2),'资源计划'!M10*G10,""))</x:f>
        <x:v>2666.6666666666665</x:v>
      </x:c>
      <x:c r="P10" s="20" t="n">
        <x:f>IF(B10="否",0,IF(AND(B10="是",COUNT('资源计划'!N10,G10)=2),'资源计划'!N10*G10,""))</x:f>
        <x:v>1533.3333333333333</x:v>
      </x:c>
      <x:c r="Q10" s="20" t="n">
        <x:f>IF(B10="否",0,IF(AND(B10="是",COUNT(I10:P10)=8),SUM(I10:P10),""))</x:f>
        <x:v>18200</x:v>
      </x:c>
      <x:c r="R10" s="20" t="n">
        <x:f>IF(COUNT(H10,Q10)&lt;2,"",ROUND(Q10-H10,2))</x:f>
        <x:v>0</x:v>
      </x:c>
      <x:c r="S10" s="9" t="str">
        <x:v>任务分资源投入×仿真费率；按资源计划逐日/分周投入计，不含一般管理分摊。</x:v>
      </x:c>
    </x:row>
    <x:row r="11" ht="70" customHeight="1">
      <x:c r="A11" s="9" t="str">
        <x:v>C04</x:v>
      </x:c>
      <x:c r="B11" s="9" t="str">
        <x:f>IF('资源计划'!A11="","",'资源计划'!A11)</x:f>
        <x:v>是</x:v>
      </x:c>
      <x:c r="C11" s="9" t="str">
        <x:v>R04直接人工</x:v>
      </x:c>
      <x:c r="D11" s="9" t="str">
        <x:v>直接人力</x:v>
      </x:c>
      <x:c r="E11" s="9" t="str">
        <x:v>人时</x:v>
      </x:c>
      <x:c r="F11" s="20" t="n">
        <x:f>IF(ISNUMBER('资源计划'!O11),'资源计划'!O11,"")</x:f>
        <x:v>223</x:v>
      </x:c>
      <x:c r="G11" s="20" t="n">
        <x:f>IF(ISNUMBER('资源计划'!F11),'资源计划'!F11,"")</x:f>
        <x:v>90</x:v>
      </x:c>
      <x:c r="H11" s="20" t="n">
        <x:f>IF(B11="否",0,IF(AND(B11="是",COUNT(F11:G11)=2),F11*G11,""))</x:f>
        <x:v>20070</x:v>
      </x:c>
      <x:c r="I11" s="20" t="n">
        <x:f>IF(B11="否",0,IF(AND(B11="是",COUNT('资源计划'!G11,G11)=2),'资源计划'!G11*G11,""))</x:f>
        <x:v>3060</x:v>
      </x:c>
      <x:c r="J11" s="20" t="n">
        <x:f>IF(B11="否",0,IF(AND(B11="是",COUNT('资源计划'!H11,G11)=2),'资源计划'!H11*G11,""))</x:f>
        <x:v>2175</x:v>
      </x:c>
      <x:c r="K11" s="20" t="n">
        <x:f>IF(B11="否",0,IF(AND(B11="是",COUNT('资源计划'!I11,G11)=2),'资源计划'!I11*G11,""))</x:f>
        <x:v>1155</x:v>
      </x:c>
      <x:c r="L11" s="20" t="n">
        <x:f>IF(B11="否",0,IF(AND(B11="是",COUNT('资源计划'!J11,G11)=2),'资源计划'!J11*G11,""))</x:f>
        <x:v>1920.0000000000002</x:v>
      </x:c>
      <x:c r="M11" s="20" t="n">
        <x:f>IF(B11="否",0,IF(AND(B11="是",COUNT('资源计划'!K11,G11)=2),'资源计划'!K11*G11,""))</x:f>
        <x:v>2760</x:v>
      </x:c>
      <x:c r="N11" s="20" t="n">
        <x:f>IF(B11="否",0,IF(AND(B11="是",COUNT('资源计划'!L11,G11)=2),'资源计划'!L11*G11,""))</x:f>
        <x:v>3240</x:v>
      </x:c>
      <x:c r="O11" s="20" t="n">
        <x:f>IF(B11="否",0,IF(AND(B11="是",COUNT('资源计划'!M11,G11)=2),'资源计划'!M11*G11,""))</x:f>
        <x:v>3180</x:v>
      </x:c>
      <x:c r="P11" s="20" t="n">
        <x:f>IF(B11="否",0,IF(AND(B11="是",COUNT('资源计划'!N11,G11)=2),'资源计划'!N11*G11,""))</x:f>
        <x:v>2580</x:v>
      </x:c>
      <x:c r="Q11" s="20" t="n">
        <x:f>IF(B11="否",0,IF(AND(B11="是",COUNT(I11:P11)=8),SUM(I11:P11),""))</x:f>
        <x:v>20070</x:v>
      </x:c>
      <x:c r="R11" s="20" t="n">
        <x:f>IF(COUNT(H11,Q11)&lt;2,"",ROUND(Q11-H11,2))</x:f>
        <x:v>0</x:v>
      </x:c>
      <x:c r="S11" s="9" t="str">
        <x:v>任务分资源投入×仿真费率；按资源计划逐日/分周投入计，不含一般管理分摊。</x:v>
      </x:c>
    </x:row>
    <x:row r="12" ht="70" customHeight="1">
      <x:c r="A12" s="9" t="str">
        <x:v>C05</x:v>
      </x:c>
      <x:c r="B12" s="9" t="str">
        <x:f>IF('资源计划'!A12="","",'资源计划'!A12)</x:f>
        <x:v>否</x:v>
      </x:c>
      <x:c r="C12" s="9" t="str">
        <x:v>R05直接人工</x:v>
      </x:c>
      <x:c r="D12" s="9" t="str">
        <x:v>直接人力</x:v>
      </x:c>
      <x:c r="E12" s="9" t="str">
        <x:v>人时</x:v>
      </x:c>
      <x:c r="F12" s="20" t="n">
        <x:f>IF(ISNUMBER('资源计划'!O12),'资源计划'!O12,"")</x:f>
        <x:v>0</x:v>
      </x:c>
      <x:c r="G12" s="20" t="n">
        <x:f>IF(ISNUMBER('资源计划'!F12),'资源计划'!F12,"")</x:f>
        <x:v>0</x:v>
      </x:c>
      <x:c r="H12" s="20" t="n">
        <x:f>IF(B12="否",0,IF(AND(B12="是",COUNT(F12:G12)=2),F12*G12,""))</x:f>
        <x:v>0</x:v>
      </x:c>
      <x:c r="I12" s="20" t="n">
        <x:f>IF(B12="否",0,IF(AND(B12="是",COUNT('资源计划'!G12,G12)=2),'资源计划'!G12*G12,""))</x:f>
        <x:v>0</x:v>
      </x:c>
      <x:c r="J12" s="20" t="n">
        <x:f>IF(B12="否",0,IF(AND(B12="是",COUNT('资源计划'!H12,G12)=2),'资源计划'!H12*G12,""))</x:f>
        <x:v>0</x:v>
      </x:c>
      <x:c r="K12" s="20" t="n">
        <x:f>IF(B12="否",0,IF(AND(B12="是",COUNT('资源计划'!I12,G12)=2),'资源计划'!I12*G12,""))</x:f>
        <x:v>0</x:v>
      </x:c>
      <x:c r="L12" s="20" t="n">
        <x:f>IF(B12="否",0,IF(AND(B12="是",COUNT('资源计划'!J12,G12)=2),'资源计划'!J12*G12,""))</x:f>
        <x:v>0</x:v>
      </x:c>
      <x:c r="M12" s="20" t="n">
        <x:f>IF(B12="否",0,IF(AND(B12="是",COUNT('资源计划'!K12,G12)=2),'资源计划'!K12*G12,""))</x:f>
        <x:v>0</x:v>
      </x:c>
      <x:c r="N12" s="20" t="n">
        <x:f>IF(B12="否",0,IF(AND(B12="是",COUNT('资源计划'!L12,G12)=2),'资源计划'!L12*G12,""))</x:f>
        <x:v>0</x:v>
      </x:c>
      <x:c r="O12" s="20" t="n">
        <x:f>IF(B12="否",0,IF(AND(B12="是",COUNT('资源计划'!M12,G12)=2),'资源计划'!M12*G12,""))</x:f>
        <x:v>0</x:v>
      </x:c>
      <x:c r="P12" s="20" t="n">
        <x:f>IF(B12="否",0,IF(AND(B12="是",COUNT('资源计划'!N12,G12)=2),'资源计划'!N12*G12,""))</x:f>
        <x:v>0</x:v>
      </x:c>
      <x:c r="Q12" s="20" t="n">
        <x:f>IF(B12="否",0,IF(AND(B12="是",COUNT(I12:P12)=8),SUM(I12:P12),""))</x:f>
        <x:v>0</x:v>
      </x:c>
      <x:c r="R12" s="20" t="n">
        <x:f>IF(COUNT(H12,Q12)&lt;2,"",ROUND(Q12-H12,2))</x:f>
        <x:v>0</x:v>
      </x:c>
      <x:c r="S12" s="9" t="str">
        <x:v>R05明确停用，估算与预算为0。</x:v>
      </x:c>
    </x:row>
    <x:row r="13" ht="70" customHeight="1">
      <x:c r="A13" s="9" t="str">
        <x:v>C06</x:v>
      </x:c>
      <x:c r="B13" s="9" t="str">
        <x:v>是</x:v>
      </x:c>
      <x:c r="C13" s="9" t="str">
        <x:v>开发/测试部署资源</x:v>
      </x:c>
      <x:c r="D13" s="9" t="str">
        <x:v>直接非人力</x:v>
      </x:c>
      <x:c r="E13" s="9" t="str">
        <x:v>周</x:v>
      </x:c>
      <x:c r="F13" s="20" t="n">
        <x:v>8</x:v>
      </x:c>
      <x:c r="G13" s="20" t="n">
        <x:v>500</x:v>
      </x:c>
      <x:c r="H13" s="20" t="n">
        <x:f>IF(B13="否",0,IF(AND(B13="是",COUNT(F13:G13)=2),F13*G13,""))</x:f>
        <x:v>4000</x:v>
      </x:c>
      <x:c r="I13" s="20" t="n">
        <x:v>250</x:v>
      </x:c>
      <x:c r="J13" s="20" t="n">
        <x:v>250</x:v>
      </x:c>
      <x:c r="K13" s="20" t="n">
        <x:v>500</x:v>
      </x:c>
      <x:c r="L13" s="20" t="n">
        <x:v>500</x:v>
      </x:c>
      <x:c r="M13" s="20" t="n">
        <x:v>500</x:v>
      </x:c>
      <x:c r="N13" s="20" t="n">
        <x:v>750</x:v>
      </x:c>
      <x:c r="O13" s="20" t="n">
        <x:v>750</x:v>
      </x:c>
      <x:c r="P13" s="20" t="n">
        <x:v>500</x:v>
      </x:c>
      <x:c r="Q13" s="20" t="n">
        <x:f>IF(B13="否",0,IF(AND(B13="是",COUNT(I13:P13)=8),SUM(I13:P13),""))</x:f>
        <x:v>4000</x:v>
      </x:c>
      <x:c r="R13" s="20" t="n">
        <x:f>IF(COUNT(H13,Q13)&lt;2,"",ROUND(Q13-H13,2))</x:f>
        <x:v>0</x:v>
      </x:c>
      <x:c r="S13" s="9" t="str">
        <x:v>仿真周预算：W1–2小型环境；W3–5应用/数据库；W6–7独立压测与恢复资源；W8移交</x:v>
      </x:c>
    </x:row>
    <x:row r="14" ht="70" customHeight="1">
      <x:c r="A14" s="9" t="str">
        <x:v>C07</x:v>
      </x:c>
      <x:c r="B14" s="9" t="str">
        <x:v>是</x:v>
      </x:c>
      <x:c r="C14" s="9" t="str">
        <x:v>AI算力与Token</x:v>
      </x:c>
      <x:c r="D14" s="9" t="str">
        <x:v>直接非人力</x:v>
      </x:c>
      <x:c r="E14" s="9" t="str">
        <x:v>周</x:v>
      </x:c>
      <x:c r="F14" s="20" t="n">
        <x:v>8</x:v>
      </x:c>
      <x:c r="G14" s="20" t="n">
        <x:v>250</x:v>
      </x:c>
      <x:c r="H14" s="20" t="n">
        <x:f>IF(B14="否",0,IF(AND(B14="是",COUNT(F14:G14)=2),F14*G14,""))</x:f>
        <x:v>2000</x:v>
      </x:c>
      <x:c r="I14" s="20" t="n">
        <x:v>150</x:v>
      </x:c>
      <x:c r="J14" s="20" t="n">
        <x:v>250</x:v>
      </x:c>
      <x:c r="K14" s="20" t="n">
        <x:v>350</x:v>
      </x:c>
      <x:c r="L14" s="20" t="n">
        <x:v>350</x:v>
      </x:c>
      <x:c r="M14" s="20" t="n">
        <x:v>350</x:v>
      </x:c>
      <x:c r="N14" s="20" t="n">
        <x:v>250</x:v>
      </x:c>
      <x:c r="O14" s="20" t="n">
        <x:v>200</x:v>
      </x:c>
      <x:c r="P14" s="20" t="n">
        <x:v>100</x:v>
      </x:c>
      <x:c r="Q14" s="20" t="n">
        <x:f>IF(B14="否",0,IF(AND(B14="是",COUNT(I14:P14)=8),SUM(I14:P14),""))</x:f>
        <x:v>2000</x:v>
      </x:c>
      <x:c r="R14" s="20" t="n">
        <x:f>IF(COUNT(H14,Q14)&lt;2,"",ROUND(Q14-H14,2))</x:f>
        <x:v>0</x:v>
      </x:c>
      <x:c r="S14" s="9" t="str">
        <x:v>仿真额度，按开发密度分周配置，不引用真实套餐价格</x:v>
      </x:c>
    </x:row>
    <x:row r="15" ht="70" customHeight="1">
      <x:c r="A15" s="9" t="str">
        <x:v>C08</x:v>
      </x:c>
      <x:c r="B15" s="9" t="str">
        <x:v>是</x:v>
      </x:c>
      <x:c r="C15" s="9" t="str">
        <x:v>开发工具与软件许可</x:v>
      </x:c>
      <x:c r="D15" s="9" t="str">
        <x:v>直接非人力</x:v>
      </x:c>
      <x:c r="E15" s="9" t="str">
        <x:v>项目许可预算</x:v>
      </x:c>
      <x:c r="F15" s="20" t="n">
        <x:v>1</x:v>
      </x:c>
      <x:c r="G15" s="20" t="n">
        <x:v>1500</x:v>
      </x:c>
      <x:c r="H15" s="20" t="n">
        <x:f>IF(B15="否",0,IF(AND(B15="是",COUNT(F15:G15)=2),F15*G15,""))</x:f>
        <x:v>1500</x:v>
      </x:c>
      <x:c r="I15" s="20" t="n">
        <x:v>1500</x:v>
      </x:c>
      <x:c r="J15" s="20" t="n">
        <x:v>0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0</x:v>
      </x:c>
      <x:c r="P15" s="20" t="n">
        <x:v>0</x:v>
      </x:c>
      <x:c r="Q15" s="20" t="n">
        <x:f>IF(B15="否",0,IF(AND(B15="是",COUNT(I15:P15)=8),SUM(I15:P15),""))</x:f>
        <x:v>1500</x:v>
      </x:c>
      <x:c r="R15" s="20" t="n">
        <x:f>IF(COUNT(H15,Q15)&lt;2,"",ROUND(Q15-H15,2))</x:f>
        <x:v>0</x:v>
      </x:c>
      <x:c r="S15" s="9" t="str">
        <x:v>仿真项目许可费用储值1500元；现有Project授权和实际采购情况未确认，不代表产品报价或已采购</x:v>
      </x:c>
    </x:row>
    <x:row r="16" ht="70" customHeight="1">
      <x:c r="A16" s="9" t="str">
        <x:v>C09</x:v>
      </x:c>
      <x:c r="B16" s="9" t="str">
        <x:v>是</x:v>
      </x:c>
      <x:c r="C16" s="9" t="str">
        <x:v>设备租用与折旧分摊</x:v>
      </x:c>
      <x:c r="D16" s="9" t="str">
        <x:v>直接非人力</x:v>
      </x:c>
      <x:c r="E16" s="9" t="str">
        <x:v>台项目分摊</x:v>
      </x:c>
      <x:c r="F16" s="20" t="n">
        <x:v>4</x:v>
      </x:c>
      <x:c r="G16" s="20" t="n">
        <x:v>300</x:v>
      </x:c>
      <x:c r="H16" s="20" t="n">
        <x:f>IF(B16="否",0,IF(AND(B16="是",COUNT(F16:G16)=2),F16*G16,""))</x:f>
        <x:v>1200</x:v>
      </x:c>
      <x:c r="I16" s="20" t="n">
        <x:v>150</x:v>
      </x:c>
      <x:c r="J16" s="20" t="n">
        <x:v>150</x:v>
      </x:c>
      <x:c r="K16" s="20" t="n">
        <x:v>150</x:v>
      </x:c>
      <x:c r="L16" s="20" t="n">
        <x:v>150</x:v>
      </x:c>
      <x:c r="M16" s="20" t="n">
        <x:v>150</x:v>
      </x:c>
      <x:c r="N16" s="20" t="n">
        <x:v>150</x:v>
      </x:c>
      <x:c r="O16" s="20" t="n">
        <x:v>150</x:v>
      </x:c>
      <x:c r="P16" s="20" t="n">
        <x:v>150</x:v>
      </x:c>
      <x:c r="Q16" s="20" t="n">
        <x:f>IF(B16="否",0,IF(AND(B16="是",COUNT(I16:P16)=8),SUM(I16:P16),""))</x:f>
        <x:v>1200</x:v>
      </x:c>
      <x:c r="R16" s="20" t="n">
        <x:f>IF(COUNT(H16,Q16)&lt;2,"",ROUND(Q16-H16,2))</x:f>
        <x:v>0</x:v>
      </x:c>
      <x:c r="S16" s="9" t="str">
        <x:v>仿真复用4台开发机，每台项目期折旧/租用分摊300元；不另行购买</x:v>
      </x:c>
    </x:row>
    <x:row r="17" ht="70" customHeight="1">
      <x:c r="A17" s="9" t="str">
        <x:v>C10</x:v>
      </x:c>
      <x:c r="B17" s="9" t="str">
        <x:v>是</x:v>
      </x:c>
      <x:c r="C17" s="9" t="str">
        <x:v>部署培训及必要差旅</x:v>
      </x:c>
      <x:c r="D17" s="9" t="str">
        <x:v>直接非人力</x:v>
      </x:c>
      <x:c r="E17" s="9" t="str">
        <x:v>次远程培训资料</x:v>
      </x:c>
      <x:c r="F17" s="20" t="n">
        <x:v>1</x:v>
      </x:c>
      <x:c r="G17" s="20" t="n">
        <x:v>400</x:v>
      </x:c>
      <x:c r="H17" s="20" t="n">
        <x:f>IF(B17="否",0,IF(AND(B17="是",COUNT(F17:G17)=2),F17*G17,""))</x:f>
        <x:v>400</x:v>
      </x:c>
      <x:c r="I17" s="20" t="n">
        <x:v>0</x:v>
      </x:c>
      <x:c r="J17" s="20" t="n">
        <x:v>0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400</x:v>
      </x:c>
      <x:c r="Q17" s="20" t="n">
        <x:f>IF(B17="否",0,IF(AND(B17="是",COUNT(I17:P17)=8),SUM(I17:P17),""))</x:f>
        <x:v>400</x:v>
      </x:c>
      <x:c r="R17" s="20" t="n">
        <x:f>IF(COUNT(H17,Q17)&lt;2,"",ROUND(Q17-H17,2))</x:f>
        <x:v>0</x:v>
      </x:c>
      <x:c r="S17" s="9" t="str">
        <x:v>一次远程培训材料和会务400元；不安排差旅，授课人工已计任务人时</x:v>
      </x:c>
    </x:row>
    <x:row r="18" ht="70" customHeight="1">
      <x:c r="A18" s="9" t="str">
        <x:v>C11</x:v>
      </x:c>
      <x:c r="B18" s="9" t="str">
        <x:v>是</x:v>
      </x:c>
      <x:c r="C18" s="9" t="str">
        <x:v>一般管理人员费用分摊</x:v>
      </x:c>
      <x:c r="D18" s="9" t="str">
        <x:v>间接人力</x:v>
      </x:c>
      <x:c r="E18" s="9" t="str">
        <x:v>直接人工比例</x:v>
      </x:c>
      <x:c r="F18" s="43" t="n">
        <x:v>0.05</x:v>
      </x:c>
      <x:c r="G18" s="20" t="n">
        <x:f>SUM(H8:H12)</x:f>
        <x:v>90050</x:v>
      </x:c>
      <x:c r="H18" s="20" t="n">
        <x:f>IF(B18="否",0,IF(AND(B18="是",COUNT(F18:G18)=2),F18*G18,""))</x:f>
        <x:v>4502.5</x:v>
      </x:c>
      <x:c r="I18" s="20" t="n">
        <x:f>ROUND(SUM(I8:I12)*$F$18,2)</x:f>
        <x:v>593</x:v>
      </x:c>
      <x:c r="J18" s="20" t="n">
        <x:f>ROUND(SUM(J8:J12)*$F$18,2)</x:f>
        <x:v>465.75</x:v>
      </x:c>
      <x:c r="K18" s="20" t="n">
        <x:f>ROUND(SUM(K8:K12)*$F$18,2)</x:f>
        <x:v>525.75</x:v>
      </x:c>
      <x:c r="L18" s="20" t="n">
        <x:f>ROUND(SUM(L8:L12)*$F$18,2)</x:f>
        <x:v>607.33</x:v>
      </x:c>
      <x:c r="M18" s="20" t="n">
        <x:f>ROUND(SUM(M8:M12)*$F$18,2)</x:f>
        <x:v>604.67</x:v>
      </x:c>
      <x:c r="N18" s="20" t="n">
        <x:f>ROUND(SUM(N8:N12)*$F$18,2)</x:f>
        <x:v>654</x:v>
      </x:c>
      <x:c r="O18" s="20" t="n">
        <x:f>ROUND(SUM(O8:O12)*$F$18,2)</x:f>
        <x:v>619.67</x:v>
      </x:c>
      <x:c r="P18" s="20" t="n">
        <x:f>ROUND(SUM(P8:P12)*$F$18,2)</x:f>
        <x:v>432.33</x:v>
      </x:c>
      <x:c r="Q18" s="20" t="n">
        <x:f>IF(B18="否",0,IF(AND(B18="是",COUNT(I18:P18)=8),SUM(I18:P18),""))</x:f>
        <x:v>4502.5</x:v>
      </x:c>
      <x:c r="R18" s="20" t="n">
        <x:f>IF(COUNT(H18,Q18)&lt;2,"",ROUND(Q18-H18,2))</x:f>
        <x:v>0</x:v>
      </x:c>
      <x:c r="S18" s="9" t="str">
        <x:v>直接人工的5%作为一般管理支持分摊；R01项目经理本人已计直接人工，不重复计算</x:v>
      </x:c>
    </x:row>
    <x:row r="19" ht="70" customHeight="1">
      <x:c r="A19" s="9" t="str">
        <x:v>C12</x:v>
      </x:c>
      <x:c r="B19" s="9" t="str">
        <x:v>是</x:v>
      </x:c>
      <x:c r="C19" s="9" t="str">
        <x:v>房租水电及网络分摊</x:v>
      </x:c>
      <x:c r="D19" s="9" t="str">
        <x:v>间接非人力</x:v>
      </x:c>
      <x:c r="E19" s="9" t="str">
        <x:v>周分摊</x:v>
      </x:c>
      <x:c r="F19" s="20" t="n">
        <x:v>8</x:v>
      </x:c>
      <x:c r="G19" s="20" t="n">
        <x:v>300</x:v>
      </x:c>
      <x:c r="H19" s="20" t="n">
        <x:f>IF(B19="否",0,IF(AND(B19="是",COUNT(F19:G19)=2),F19*G19,""))</x:f>
        <x:v>2400</x:v>
      </x:c>
      <x:c r="I19" s="20" t="n">
        <x:v>300</x:v>
      </x:c>
      <x:c r="J19" s="20" t="n">
        <x:v>300</x:v>
      </x:c>
      <x:c r="K19" s="20" t="n">
        <x:v>300</x:v>
      </x:c>
      <x:c r="L19" s="20" t="n">
        <x:v>300</x:v>
      </x:c>
      <x:c r="M19" s="20" t="n">
        <x:v>300</x:v>
      </x:c>
      <x:c r="N19" s="20" t="n">
        <x:v>300</x:v>
      </x:c>
      <x:c r="O19" s="20" t="n">
        <x:v>300</x:v>
      </x:c>
      <x:c r="P19" s="20" t="n">
        <x:v>300</x:v>
      </x:c>
      <x:c r="Q19" s="20" t="n">
        <x:f>IF(B19="否",0,IF(AND(B19="是",COUNT(I19:P19)=8),SUM(I19:P19),""))</x:f>
        <x:v>2400</x:v>
      </x:c>
      <x:c r="R19" s="20" t="n">
        <x:f>IF(COUNT(H19,Q19)&lt;2,"",ROUND(Q19-H19,2))</x:f>
        <x:v>0</x:v>
      </x:c>
      <x:c r="S19" s="9" t="str">
        <x:v>仿真4人共享空间8周，每周分摊300元，覆盖房租、水电及网络</x:v>
      </x:c>
    </x:row>
    <x:row r="20" ht="70" customHeight="1">
      <x:c r="A20" s="9" t="str">
        <x:v>C13</x:v>
      </x:c>
      <x:c r="B20" s="9" t="str">
        <x:v>是</x:v>
      </x:c>
      <x:c r="C20" s="9" t="str">
        <x:v>共享办公与设施分摊</x:v>
      </x:c>
      <x:c r="D20" s="9" t="str">
        <x:v>间接非人力</x:v>
      </x:c>
      <x:c r="E20" s="9" t="str">
        <x:v>周分摊</x:v>
      </x:c>
      <x:c r="F20" s="20" t="n">
        <x:v>8</x:v>
      </x:c>
      <x:c r="G20" s="20" t="n">
        <x:v>100</x:v>
      </x:c>
      <x:c r="H20" s="20" t="n">
        <x:f>IF(B20="否",0,IF(AND(B20="是",COUNT(F20:G20)=2),F20*G20,""))</x:f>
        <x:v>800</x:v>
      </x:c>
      <x:c r="I20" s="20" t="n">
        <x:v>100</x:v>
      </x:c>
      <x:c r="J20" s="20" t="n">
        <x:v>100</x:v>
      </x:c>
      <x:c r="K20" s="20" t="n">
        <x:v>100</x:v>
      </x:c>
      <x:c r="L20" s="20" t="n">
        <x:v>100</x:v>
      </x:c>
      <x:c r="M20" s="20" t="n">
        <x:v>100</x:v>
      </x:c>
      <x:c r="N20" s="20" t="n">
        <x:v>100</x:v>
      </x:c>
      <x:c r="O20" s="20" t="n">
        <x:v>100</x:v>
      </x:c>
      <x:c r="P20" s="20" t="n">
        <x:v>100</x:v>
      </x:c>
      <x:c r="Q20" s="20" t="n">
        <x:f>IF(B20="否",0,IF(AND(B20="是",COUNT(I20:P20)=8),SUM(I20:P20),""))</x:f>
        <x:v>800</x:v>
      </x:c>
      <x:c r="R20" s="20" t="n">
        <x:f>IF(COUNT(H20,Q20)&lt;2,"",ROUND(Q20-H20,2))</x:f>
        <x:v>0</x:v>
      </x:c>
      <x:c r="S20" s="9" t="str">
        <x:v>仿真共享打印、办公耗材及设施，每周100元；不含C09设备和C12房租水电</x:v>
      </x:c>
    </x:row>
    <x:row r="21" ht="70" customHeight="1">
      <x:c r="A21" s="9" t="str">
        <x:v>C14</x:v>
      </x:c>
      <x:c r="B21" s="9" t="str">
        <x:v>是</x:v>
      </x:c>
      <x:c r="C21" s="9" t="str">
        <x:v>管理储备</x:v>
      </x:c>
      <x:c r="D21" s="9" t="str">
        <x:v>储备</x:v>
      </x:c>
      <x:c r="E21" s="9" t="str">
        <x:v>成本基准比例</x:v>
      </x:c>
      <x:c r="F21" s="43" t="n">
        <x:v>0.1</x:v>
      </x:c>
      <x:c r="G21" s="20" t="n">
        <x:f>ROUND(SUM(H8:H20)*F21,2)</x:f>
        <x:v>10685.25</x:v>
      </x:c>
      <x:c r="H21" s="20" t="n">
        <x:f>IF(B21="否",0,IF(AND(B21="是",ISNUMBER(G21)),G21,""))</x:f>
        <x:v>10685.25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f>H21</x:f>
        <x:v>10685.25</x:v>
      </x:c>
      <x:c r="Q21" s="20" t="n">
        <x:f>IF(B21="否",0,IF(AND(B21="是",COUNT(I21:P21)=8),SUM(I21:P21),""))</x:f>
        <x:v>10685.25</x:v>
      </x:c>
      <x:c r="R21" s="20" t="n">
        <x:f>IF(COUNT(H21,Q21)&lt;2,"",ROUND(Q21-H21,2))</x:f>
        <x:v>0</x:v>
      </x:c>
      <x:c r="S21" s="9" t="str">
        <x:v>仿真成本控制基准的10%；独立管理储备，W8列为额度预留而非已发生支出，不计入成本控制基准</x:v>
      </x:c>
    </x:row>
    <x:row r="22" ht="30" customHeight="1">
      <x:c r="A22" s="4"/>
      <x:c r="B22" s="4"/>
      <x:c r="C22" s="4"/>
      <x:c r="D22" s="4"/>
      <x:c r="E22" s="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4"/>
    </x:row>
    <x:row r="23" ht="30" customHeight="1">
      <x:c r="A23" s="21"/>
      <x:c r="B23" s="21"/>
      <x:c r="C23" s="21" t="str">
        <x:v>含管理储备总预算</x:v>
      </x:c>
      <x:c r="D23" s="21"/>
      <x:c r="E23" s="21"/>
      <x:c r="F23" s="25"/>
      <x:c r="G23" s="25"/>
      <x:c r="H23" s="25" t="n">
        <x:f>IF(COUNT(H8:H21)=14,SUM(H8:H21),"")</x:f>
        <x:v>117537.75</x:v>
      </x:c>
      <x:c r="I23" s="25" t="n">
        <x:f>IF(COUNT(I8:I21)=14,SUM(I8:I21),"")</x:f>
        <x:v>14903</x:v>
      </x:c>
      <x:c r="J23" s="25" t="n">
        <x:f>IF(COUNT(J8:J21)=14,SUM(J8:J21),"")</x:f>
        <x:v>10830.75</x:v>
      </x:c>
      <x:c r="K23" s="25" t="n">
        <x:f>IF(COUNT(K8:K21)=14,SUM(K8:K21),"")</x:f>
        <x:v>12440.75</x:v>
      </x:c>
      <x:c r="L23" s="25" t="n">
        <x:f>IF(COUNT(L8:L21)=14,SUM(L8:L21),"")</x:f>
        <x:v>14153.996666666666</x:v>
      </x:c>
      <x:c r="M23" s="25" t="n">
        <x:f>IF(COUNT(M8:M21)=14,SUM(M8:M21),"")</x:f>
        <x:v>14098.003333333332</x:v>
      </x:c>
      <x:c r="N23" s="25" t="n">
        <x:f>IF(COUNT(N8:N21)=14,SUM(N8:N21),"")</x:f>
        <x:v>15284</x:v>
      </x:c>
      <x:c r="O23" s="25" t="n">
        <x:f>IF(COUNT(O8:O21)=14,SUM(O8:O21),"")</x:f>
        <x:v>14513.003333333332</x:v>
      </x:c>
      <x:c r="P23" s="25" t="n">
        <x:f>IF(COUNT(P8:P21)=14,SUM(P8:P21),"")</x:f>
        <x:v>21314.246666666666</x:v>
      </x:c>
      <x:c r="Q23" s="25" t="n">
        <x:f>IF(COUNT(Q8:Q21)=14,SUM(Q8:Q21),"")</x:f>
        <x:v>117537.75</x:v>
      </x:c>
      <x:c r="R23" s="25" t="n">
        <x:f>ROUND(Q23-H23,2)</x:f>
        <x:v>0</x:v>
      </x:c>
      <x:c r="S23" s="26" t="str">
        <x:v>总预算=成本控制基准+管理储备。储备W8为额度预留，不代表该周已实际支出。</x:v>
      </x:c>
    </x:row>
    <x:row r="24" ht="40" customHeight="1">
      <x:c r="A24" s="35"/>
      <x:c r="B24" s="35"/>
      <x:c r="C24" s="35" t="str">
        <x:v>成本控制基准</x:v>
      </x:c>
      <x:c r="D24" s="35"/>
      <x:c r="E24" s="35"/>
      <x:c r="F24" s="35"/>
      <x:c r="G24" s="35"/>
      <x:c r="H24" s="44" t="n">
        <x:f>SUM(H8:H20)</x:f>
        <x:v>106852.5</x:v>
      </x:c>
      <x:c r="I24" s="44" t="n">
        <x:f>SUM(I8:I20)</x:f>
        <x:v>14903</x:v>
      </x:c>
      <x:c r="J24" s="44" t="n">
        <x:f>SUM(J8:J20)</x:f>
        <x:v>10830.75</x:v>
      </x:c>
      <x:c r="K24" s="44" t="n">
        <x:f>SUM(K8:K20)</x:f>
        <x:v>12440.75</x:v>
      </x:c>
      <x:c r="L24" s="44" t="n">
        <x:f>SUM(L8:L20)</x:f>
        <x:v>14153.996666666666</x:v>
      </x:c>
      <x:c r="M24" s="44" t="n">
        <x:f>SUM(M8:M20)</x:f>
        <x:v>14098.003333333332</x:v>
      </x:c>
      <x:c r="N24" s="44" t="n">
        <x:f>SUM(N8:N20)</x:f>
        <x:v>15284</x:v>
      </x:c>
      <x:c r="O24" s="44" t="n">
        <x:f>SUM(O8:O20)</x:f>
        <x:v>14513.003333333332</x:v>
      </x:c>
      <x:c r="P24" s="44" t="n">
        <x:f>SUM(P8:P20)</x:f>
        <x:v>10628.996666666666</x:v>
      </x:c>
      <x:c r="Q24" s="44" t="n">
        <x:f>SUM(Q8:Q20)</x:f>
        <x:v>106852.5</x:v>
      </x:c>
      <x:c r="R24" s="35"/>
      <x:c r="S24" s="35"/>
    </x:row>
    <x:row r="25" ht="40" customHeight="1">
      <x:c r="A25" s="35"/>
      <x:c r="B25" s="35"/>
      <x:c r="C25" s="35" t="str">
        <x:v>其中：管理储备</x:v>
      </x:c>
      <x:c r="D25" s="35"/>
      <x:c r="E25" s="35"/>
      <x:c r="F25" s="35"/>
      <x:c r="G25" s="35"/>
      <x:c r="H25" s="44" t="n">
        <x:f>H21</x:f>
        <x:v>10685.25</x:v>
      </x:c>
      <x:c r="I25" s="44"/>
      <x:c r="J25" s="44"/>
      <x:c r="K25" s="44"/>
      <x:c r="L25" s="44"/>
      <x:c r="M25" s="44"/>
      <x:c r="N25" s="44"/>
      <x:c r="O25" s="44"/>
      <x:c r="P25" s="44"/>
      <x:c r="Q25" s="44" t="n">
        <x:f>Q21</x:f>
        <x:v>10685.25</x:v>
      </x:c>
      <x:c r="R25" s="35"/>
      <x:c r="S25" s="35"/>
    </x:row>
    <x:row r="26" ht="32" customHeight="1">
      <x:c r="A26" s="22" t="str">
        <x:v>成本填写说明</x:v>
      </x:c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</x:row>
    <x:row r="27" ht="32" customHeight="1">
      <x:c r="A27" s="23" t="str">
        <x:v>分周预算对应任务日期与资源投入，不作为实际现金支付记录；不含交付后的长期产品运维。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</x:row>
    <x:row r="28" ht="32" customHeight="1">
      <x:c r="A28" s="23" t="str">
        <x:v>费率不含间接分摊；C11另按直接人工5%分摊，不重复计R01项目经理工时。</x:v>
      </x:c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</x:row>
    <x:row r="29" ht="32" customHeight="1">
      <x:c r="A29" s="23" t="str">
        <x:v>管理储备为控制基准的10%，单列于C14；成本控制基准不包含管理储备。</x:v>
      </x:c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</x:row>
    <x:row r="30" ht="32" customHeight="1">
      <x:c r="A30" s="23" t="str">
        <x:v>设备复用及折旧、远程培训、许可额度均为仿真假设；没有实际采购或市场报价。</x:v>
      </x:c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</x:row>
    <x:row r="31" ht="32" customHeight="1">
      <x:c r="A31" s="23" t="str">
        <x:v>调整人时、费率和预算后重新复核8周资源可行性，并同步Project的计划版本。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</x:row>
    <x:row r="32" ht="32" customHeight="1">
      <x:c r="A32" s="23" t="str">
        <x:v>重复计算：分别界定成员直接工时、一般管理分摊和共享费用，避免同一费用计入两次。</x:v>
      </x:c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</x:row>
    <x:row r="33" ht="3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</x:row>
    <x:row r="34" ht="3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</x:row>
    <x:row r="35" ht="3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</x:row>
    <x:row r="36" ht="3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</x:row>
  </x:sheetData>
  <x:dataValidations count="1">
    <x:dataValidation type="list" sqref="B13:B21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7.5" hidden="0" customWidth="1"/>
    <x:col min="3" max="3" width="45" hidden="0" customWidth="1"/>
    <x:col min="4" max="4" width="22.5" hidden="0" customWidth="1"/>
    <x:col min="5" max="5" width="13.130000114440918" hidden="0" customWidth="1"/>
    <x:col min="6" max="6" width="13.75" hidden="0" customWidth="1"/>
    <x:col min="7" max="7" width="27.5" hidden="0" customWidth="1"/>
    <x:col min="8" max="8" width="42.5" hidden="0" customWidth="1"/>
    <x:col min="9" max="9" width="17.5" hidden="0" customWidth="1"/>
    <x:col min="10" max="10" width="17.5" hidden="0" customWidth="1"/>
    <x:col min="11" max="11" width="37.5" hidden="0" customWidth="1"/>
  </x:cols>
  <x:sheetData>
    <x:row r="1" ht="30" customHeight="1">
      <x:c r="A1" s="4"/>
      <x:c r="B1" s="4"/>
      <x:c r="C1" s="4"/>
      <x:c r="D1" s="4"/>
      <x:c r="E1" s="4"/>
      <x:c r="F1" s="4"/>
      <x:c r="G1" s="4"/>
      <x:c r="H1" s="4"/>
    </x:row>
    <x:row r="2" ht="32" customHeight="1">
      <x:c r="A2" s="6" t="str">
        <x:v>质量、计划复核与风险（仿真）</x:v>
      </x:c>
      <x:c r="B2" s="4"/>
      <x:c r="C2" s="4"/>
      <x:c r="D2" s="4"/>
      <x:c r="E2" s="4"/>
      <x:c r="F2" s="4"/>
      <x:c r="G2" s="4"/>
      <x:c r="H2" s="4"/>
    </x:row>
    <x:row r="3" ht="30" customHeight="1">
      <x:c r="A3" s="8" t="str">
        <x:v>16项预定质量标准已填写仿真负责人、计划日期与方法。实际执行日期、结果和证据尚未产生，保持留空。</x:v>
      </x:c>
      <x:c r="B3" s="4"/>
      <x:c r="C3" s="4"/>
      <x:c r="D3" s="4"/>
      <x:c r="E3" s="4"/>
      <x:c r="F3" s="4"/>
      <x:c r="G3" s="4"/>
      <x:c r="H3" s="4"/>
    </x:row>
    <x:row r="4" ht="30" customHeight="1">
      <x:c r="A4" s="4"/>
      <x:c r="B4" s="4"/>
      <x:c r="C4" s="4"/>
      <x:c r="D4" s="4"/>
      <x:c r="E4" s="4"/>
      <x:c r="F4" s="4"/>
      <x:c r="G4" s="4"/>
      <x:c r="H4" s="4"/>
    </x:row>
    <x:row r="5" ht="30" customHeight="1">
      <x:c r="A5" s="4"/>
      <x:c r="B5" s="4"/>
      <x:c r="C5" s="4"/>
      <x:c r="D5" s="4"/>
      <x:c r="E5" s="4"/>
      <x:c r="F5" s="4"/>
      <x:c r="G5" s="4"/>
      <x:c r="H5" s="4"/>
    </x:row>
    <x:row r="6" ht="42" customHeight="1">
      <x:c r="A6" s="11" t="str">
        <x:v>编号</x:v>
      </x:c>
      <x:c r="B6" s="11" t="str">
        <x:v>质量对象</x:v>
      </x:c>
      <x:c r="C6" s="11" t="str">
        <x:v>预定标准</x:v>
      </x:c>
      <x:c r="D6" s="11" t="str">
        <x:v>需求/验收依据</x:v>
      </x:c>
      <x:c r="E6" s="11" t="str">
        <x:v>对应任务</x:v>
      </x:c>
      <x:c r="F6" s="11" t="str">
        <x:v>仿真负责人</x:v>
      </x:c>
      <x:c r="G6" s="11" t="str">
        <x:v>实际日期/结果</x:v>
      </x:c>
      <x:c r="H6" s="11" t="str">
        <x:v>预定证据与待确认条件</x:v>
      </x:c>
      <x:c r="I6" s="31" t="str">
        <x:v>计划开始日期</x:v>
      </x:c>
      <x:c r="J6" s="31" t="str">
        <x:v>计划结束日期</x:v>
      </x:c>
      <x:c r="K6" s="31" t="str">
        <x:v>验证方法</x:v>
      </x:c>
    </x:row>
    <x:row r="7" ht="58" customHeight="1">
      <x:c r="A7" s="9" t="str">
        <x:v>Q01</x:v>
      </x:c>
      <x:c r="B7" s="9" t="str">
        <x:v>档案、备案与字典</x:v>
      </x:c>
      <x:c r="C7" s="9" t="str">
        <x:v>编码、字段、变更备案、历史快照与字典按SRS AC-01逐项验证</x:v>
      </x:c>
      <x:c r="D7" s="9" t="str">
        <x:v>AC-01</x:v>
      </x:c>
      <x:c r="E7" s="9" t="str">
        <x:v>T4.3</x:v>
      </x:c>
      <x:c r="F7" s="9" t="str">
        <x:v>R04</x:v>
      </x:c>
      <x:c r="G7" s="9"/>
      <x:c r="H7" s="9" t="str">
        <x:v>预定证据：版本、合成数据、预期/实际、日志和截图；实际证据未产生。</x:v>
      </x:c>
      <x:c r="I7" s="42" t="n">
        <x:f>MIN('任务与甘特'!T36)</x:f>
        <x:v>46356</x:v>
      </x:c>
      <x:c r="J7" s="42" t="n">
        <x:f>MAX('任务与甘特'!U36)</x:f>
        <x:v>46358</x:v>
      </x:c>
      <x:c r="K7" s="29" t="str">
        <x:v>按SRS对应AC构造正常、异常和边界用例并评审证据</x:v>
      </x:c>
    </x:row>
    <x:row r="8" ht="58" customHeight="1">
      <x:c r="A8" s="9" t="str">
        <x:v>Q02</x:v>
      </x:c>
      <x:c r="B8" s="9" t="str">
        <x:v>填报与窗口</x:v>
      </x:c>
      <x:c r="C8" s="9" t="str">
        <x:v>字段边界、条件必填、窗口和补报、版本及幂等按AC-02验证</x:v>
      </x:c>
      <x:c r="D8" s="9" t="str">
        <x:v>AC-02</x:v>
      </x:c>
      <x:c r="E8" s="9" t="str">
        <x:v>T4.3</x:v>
      </x:c>
      <x:c r="F8" s="9" t="str">
        <x:v>R04</x:v>
      </x:c>
      <x:c r="G8" s="9"/>
      <x:c r="H8" s="9" t="str">
        <x:v>预定证据：版本、合成数据、预期/实际、日志和截图；实际证据未产生。</x:v>
      </x:c>
      <x:c r="I8" s="42" t="n">
        <x:f>MIN('任务与甘特'!T36)</x:f>
        <x:v>46356</x:v>
      </x:c>
      <x:c r="J8" s="42" t="n">
        <x:f>MAX('任务与甘特'!U36)</x:f>
        <x:v>46358</x:v>
      </x:c>
      <x:c r="K8" s="29" t="str">
        <x:v>按SRS对应AC构造正常、异常和边界用例并评审证据</x:v>
      </x:c>
    </x:row>
    <x:row r="9" ht="58" customHeight="1">
      <x:c r="A9" s="9" t="str">
        <x:v>Q03</x:v>
      </x:c>
      <x:c r="B9" s="9" t="str">
        <x:v>审核与补报</x:v>
      </x:c>
      <x:c r="C9" s="9" t="str">
        <x:v>企业→市→省状态顺序、退回重提、补报和基准纠错按AC-03验证</x:v>
      </x:c>
      <x:c r="D9" s="9" t="str">
        <x:v>AC-03</x:v>
      </x:c>
      <x:c r="E9" s="9" t="str">
        <x:v>T4.3</x:v>
      </x:c>
      <x:c r="F9" s="9" t="str">
        <x:v>R04</x:v>
      </x:c>
      <x:c r="G9" s="9"/>
      <x:c r="H9" s="9" t="str">
        <x:v>预定证据：版本、合成数据、预期/实际、日志和截图；实际证据未产生。</x:v>
      </x:c>
      <x:c r="I9" s="42" t="n">
        <x:f>MIN('任务与甘特'!T36)</x:f>
        <x:v>46356</x:v>
      </x:c>
      <x:c r="J9" s="42" t="n">
        <x:f>MAX('任务与甘特'!U36)</x:f>
        <x:v>46358</x:v>
      </x:c>
      <x:c r="K9" s="29" t="str">
        <x:v>按SRS对应AC构造正常、异常和边界用例并评审证据</x:v>
      </x:c>
    </x:row>
    <x:row r="10" ht="58" customHeight="1">
      <x:c r="A10" s="9" t="str">
        <x:v>Q04</x:v>
      </x:c>
      <x:c r="B10" s="9" t="str">
        <x:v>修订、快照与审计</x:v>
      </x:c>
      <x:c r="C10" s="9" t="str">
        <x:v>原值不覆盖，生效撤销链与统计/批次快照一致，按AC-04验证</x:v>
      </x:c>
      <x:c r="D10" s="9" t="str">
        <x:v>AC-04</x:v>
      </x:c>
      <x:c r="E10" s="9" t="str">
        <x:v>T4.3</x:v>
      </x:c>
      <x:c r="F10" s="9" t="str">
        <x:v>R04</x:v>
      </x:c>
      <x:c r="G10" s="9"/>
      <x:c r="H10" s="9" t="str">
        <x:v>预定证据：版本、合成数据、预期/实际、日志和截图；实际证据未产生。</x:v>
      </x:c>
      <x:c r="I10" s="42" t="n">
        <x:f>MIN('任务与甘特'!T36)</x:f>
        <x:v>46356</x:v>
      </x:c>
      <x:c r="J10" s="42" t="n">
        <x:f>MAX('任务与甘特'!U36)</x:f>
        <x:v>46358</x:v>
      </x:c>
      <x:c r="K10" s="29" t="str">
        <x:v>按SRS对应AC构造正常、异常和边界用例并评审证据</x:v>
      </x:c>
    </x:row>
    <x:row r="11" ht="58" customHeight="1">
      <x:c r="A11" s="9" t="str">
        <x:v>Q05</x:v>
      </x:c>
      <x:c r="B11" s="9" t="str">
        <x:v>权限、用户与通知</x:v>
      </x:c>
      <x:c r="C11" s="9" t="str">
        <x:v>跨企业跨市拒绝、撤权生效、通知可见范围、管理员生命周期</x:v>
      </x:c>
      <x:c r="D11" s="9" t="str">
        <x:v>AC-05, AC-08</x:v>
      </x:c>
      <x:c r="E11" s="9" t="str">
        <x:v>T4.3,T4.6</x:v>
      </x:c>
      <x:c r="F11" s="9" t="str">
        <x:v>R04</x:v>
      </x:c>
      <x:c r="G11" s="9"/>
      <x:c r="H11" s="9" t="str">
        <x:v>预定证据：版本、合成数据、预期/实际、日志和截图；实际证据未产生。</x:v>
      </x:c>
      <x:c r="I11" s="42" t="n">
        <x:f>MIN('任务与甘特'!T36,'任务与甘特'!T39)</x:f>
        <x:v>46351</x:v>
      </x:c>
      <x:c r="J11" s="42" t="n">
        <x:f>MAX('任务与甘特'!U36,'任务与甘特'!U39)</x:f>
        <x:v>46358</x:v>
      </x:c>
      <x:c r="K11" s="29" t="str">
        <x:v>按SRS对应AC构造正常、异常和边界用例并评审证据</x:v>
      </x:c>
    </x:row>
    <x:row r="12" ht="58" customHeight="1">
      <x:c r="A12" s="9" t="str">
        <x:v>Q06</x:v>
      </x:c>
      <x:c r="B12" s="9" t="str">
        <x:v>查询导出</x:v>
      </x:c>
      <x:c r="C12" s="9" t="str">
        <x:v>13条件、命中行数、中文前导零、安全文本、过期和下载权限一致</x:v>
      </x:c>
      <x:c r="D12" s="9" t="str">
        <x:v>AC-06, IF-03</x:v>
      </x:c>
      <x:c r="E12" s="9" t="str">
        <x:v>T4.3</x:v>
      </x:c>
      <x:c r="F12" s="9" t="str">
        <x:v>R04</x:v>
      </x:c>
      <x:c r="G12" s="9"/>
      <x:c r="H12" s="9" t="str">
        <x:v>预定证据：版本、合成数据、预期/实际、日志和截图；实际证据未产生。</x:v>
      </x:c>
      <x:c r="I12" s="42" t="n">
        <x:f>MIN('任务与甘特'!T36)</x:f>
        <x:v>46356</x:v>
      </x:c>
      <x:c r="J12" s="42" t="n">
        <x:f>MAX('任务与甘特'!U36)</x:f>
        <x:v>46358</x:v>
      </x:c>
      <x:c r="K12" s="29" t="str">
        <x:v>按SRS对应AC构造正常、异常和边界用例并评审证据</x:v>
      </x:c>
    </x:row>
    <x:row r="13" ht="58" customHeight="1">
      <x:c r="A13" s="9" t="str">
        <x:v>Q07</x:v>
      </x:c>
      <x:c r="B13" s="9" t="str">
        <x:v>指标与图表</x:v>
      </x:c>
      <x:c r="C13" s="9" t="str">
        <x:v>按SRS 3.9复算六指标，缺样本不补0、0分母不可计算、图表表格同源</x:v>
      </x:c>
      <x:c r="D13" s="9" t="str">
        <x:v>AC-07</x:v>
      </x:c>
      <x:c r="E13" s="9" t="str">
        <x:v>T4.3</x:v>
      </x:c>
      <x:c r="F13" s="9" t="str">
        <x:v>R04</x:v>
      </x:c>
      <x:c r="G13" s="9"/>
      <x:c r="H13" s="9" t="str">
        <x:v>预定证据：版本、合成数据、预期/实际、日志和截图；实际证据未产生。</x:v>
      </x:c>
      <x:c r="I13" s="42" t="n">
        <x:f>MIN('任务与甘特'!T36)</x:f>
        <x:v>46356</x:v>
      </x:c>
      <x:c r="J13" s="42" t="n">
        <x:f>MAX('任务与甘特'!U36)</x:f>
        <x:v>46358</x:v>
      </x:c>
      <x:c r="K13" s="29" t="str">
        <x:v>按SRS对应AC构造正常、异常和边界用例并评审证据</x:v>
      </x:c>
    </x:row>
    <x:row r="14" ht="58" customHeight="1">
      <x:c r="A14" s="9" t="str">
        <x:v>Q08</x:v>
      </x:c>
      <x:c r="B14" s="9" t="str">
        <x:v>删除恢复与保留</x:v>
      </x:c>
      <x:c r="C14" s="9" t="str">
        <x:v>冻结引用、删除恢复期限、脱敏、期限配置及审计按AC-09验证</x:v>
      </x:c>
      <x:c r="D14" s="9" t="str">
        <x:v>AC-09, NFR-09</x:v>
      </x:c>
      <x:c r="E14" s="9" t="str">
        <x:v>T4.3,T4.6</x:v>
      </x:c>
      <x:c r="F14" s="9" t="str">
        <x:v>R04</x:v>
      </x:c>
      <x:c r="G14" s="9"/>
      <x:c r="H14" s="9" t="str">
        <x:v>预定证据：版本、合成数据、预期/实际、日志和截图；实际证据未产生。</x:v>
      </x:c>
      <x:c r="I14" s="42" t="n">
        <x:f>MIN('任务与甘特'!T36,'任务与甘特'!T39)</x:f>
        <x:v>46351</x:v>
      </x:c>
      <x:c r="J14" s="42" t="n">
        <x:f>MAX('任务与甘特'!U36,'任务与甘特'!U39)</x:f>
        <x:v>46358</x:v>
      </x:c>
      <x:c r="K14" s="29" t="str">
        <x:v>按SRS对应AC构造正常、异常和边界用例并评审证据</x:v>
      </x:c>
    </x:row>
    <x:row r="15" ht="58" customHeight="1">
      <x:c r="A15" s="9" t="str">
        <x:v>Q09</x:v>
      </x:c>
      <x:c r="B15" s="9" t="str">
        <x:v>MOCK交换</x:v>
      </x:c>
      <x:c r="C15" s="9" t="str">
        <x:v>黄金字节摘要、模拟回执、重复发送、超时UNKNOWN与恢复按AC-10A验证</x:v>
      </x:c>
      <x:c r="D15" s="9" t="str">
        <x:v>AC-10A, IF-01</x:v>
      </x:c>
      <x:c r="E15" s="9" t="str">
        <x:v>T4.4</x:v>
      </x:c>
      <x:c r="F15" s="9" t="str">
        <x:v>R04</x:v>
      </x:c>
      <x:c r="G15" s="9"/>
      <x:c r="H15" s="9" t="str">
        <x:v>预定证据：版本、合成数据、预期/实际、日志和截图；实际证据未产生。</x:v>
      </x:c>
      <x:c r="I15" s="42" t="n">
        <x:f>MIN('任务与甘特'!T37)</x:f>
        <x:v>46343</x:v>
      </x:c>
      <x:c r="J15" s="42" t="n">
        <x:f>MAX('任务与甘特'!U37)</x:f>
        <x:v>46344</x:v>
      </x:c>
      <x:c r="K15" s="29" t="str">
        <x:v>按SRS对应AC构造正常、异常和边界用例并评审证据</x:v>
      </x:c>
    </x:row>
    <x:row r="16" ht="58" customHeight="1">
      <x:c r="A16" s="9" t="str">
        <x:v>Q10</x:v>
      </x:c>
      <x:c r="B16" s="9" t="str">
        <x:v>真实国家交换</x:v>
      </x:c>
      <x:c r="C16" s="9" t="str">
        <x:v>实际协议、认证、字段编码映射与可核验接收凭据齐备；不能用MOCK替代</x:v>
      </x:c>
      <x:c r="D16" s="9" t="str">
        <x:v>AC-10B, IF-01</x:v>
      </x:c>
      <x:c r="E16" s="9" t="str">
        <x:v>T4.5</x:v>
      </x:c>
      <x:c r="F16" s="9" t="str">
        <x:v>R04</x:v>
      </x:c>
      <x:c r="G16" s="9"/>
      <x:c r="H16" s="9" t="str">
        <x:v>预定证据：版本、合成数据、预期/实际、日志和截图；实际证据未产生。真实交换须实际接收凭据，MOCK不能替代。</x:v>
      </x:c>
      <x:c r="I16" s="42" t="n">
        <x:f>MIN('任务与甘特'!T38)</x:f>
        <x:v>46345</x:v>
      </x:c>
      <x:c r="J16" s="42" t="n">
        <x:f>MAX('任务与甘特'!U38)</x:f>
        <x:v>46346</x:v>
      </x:c>
      <x:c r="K16" s="29" t="str">
        <x:v>在假定可用的受控真实端点核验认证、映射和接收凭据</x:v>
      </x:c>
    </x:row>
    <x:row r="17" ht="58" customHeight="1">
      <x:c r="A17" s="9" t="str">
        <x:v>Q11</x:v>
      </x:c>
      <x:c r="B17" s="9" t="str">
        <x:v>容量与性能</x:v>
      </x:c>
      <x:c r="C17" s="9" t="str">
        <x:v>10,000企业/600,000月报/200并发；六类成功率各≥90%；列表等P95≤3秒，汇总≤5秒；技术错误率&lt;1%</x:v>
      </x:c>
      <x:c r="D17" s="9" t="str">
        <x:v>AC-11, NFR-01/02</x:v>
      </x:c>
      <x:c r="E17" s="9" t="str">
        <x:v>T4.7</x:v>
      </x:c>
      <x:c r="F17" s="9" t="str">
        <x:v>R04</x:v>
      </x:c>
      <x:c r="G17" s="9"/>
      <x:c r="H17" s="9" t="str">
        <x:v>预定证据：版本、合成数据、预期/实际、日志和截图；实际证据未产生。</x:v>
      </x:c>
      <x:c r="I17" s="42" t="n">
        <x:f>MIN('任务与甘特'!T40)</x:f>
        <x:v>46351</x:v>
      </x:c>
      <x:c r="J17" s="42" t="n">
        <x:f>MAX('任务与甘特'!U40)</x:f>
        <x:v>46353</x:v>
      </x:c>
      <x:c r="K17" s="29" t="str">
        <x:v>独立负载机按SRS混合负载与导出口径执行</x:v>
      </x:c>
    </x:row>
    <x:row r="18" ht="58" customHeight="1">
      <x:c r="A18" s="9" t="str">
        <x:v>Q12</x:v>
      </x:c>
      <x:c r="B18" s="9" t="str">
        <x:v>导出性能</x:v>
      </x:c>
      <x:c r="C18" s="9" t="str">
        <x:v>10,000行、最多30列导出≤60秒；3次取最慢；更大数据异步可查</x:v>
      </x:c>
      <x:c r="D18" s="9" t="str">
        <x:v>AC-11, NFR-03</x:v>
      </x:c>
      <x:c r="E18" s="9" t="str">
        <x:v>T4.7</x:v>
      </x:c>
      <x:c r="F18" s="9" t="str">
        <x:v>R04</x:v>
      </x:c>
      <x:c r="G18" s="9"/>
      <x:c r="H18" s="9" t="str">
        <x:v>预定证据：版本、合成数据、预期/实际、日志和截图；实际证据未产生。</x:v>
      </x:c>
      <x:c r="I18" s="42" t="n">
        <x:f>MIN('任务与甘特'!T40)</x:f>
        <x:v>46351</x:v>
      </x:c>
      <x:c r="J18" s="42" t="n">
        <x:f>MAX('任务与甘特'!U40)</x:f>
        <x:v>46353</x:v>
      </x:c>
      <x:c r="K18" s="29" t="str">
        <x:v>独立负载机按SRS混合负载与导出口径执行</x:v>
      </x:c>
    </x:row>
    <x:row r="19" ht="58" customHeight="1">
      <x:c r="A19" s="9" t="str">
        <x:v>Q13</x:v>
      </x:c>
      <x:c r="B19" s="9" t="str">
        <x:v>运行与恢复</x:v>
      </x:c>
      <x:c r="C19" s="9" t="str">
        <x:v>72小时集成运行及重启；月可用性目标≥99.5%另持续测量；RPO≤24小时/RTO≤4小时</x:v>
      </x:c>
      <x:c r="D19" s="9" t="str">
        <x:v>AC-12, NFR-04/05</x:v>
      </x:c>
      <x:c r="E19" s="9" t="str">
        <x:v>T4.8</x:v>
      </x:c>
      <x:c r="F19" s="9" t="str">
        <x:v>R04</x:v>
      </x:c>
      <x:c r="G19" s="9"/>
      <x:c r="H19" s="9" t="str">
        <x:v>预定证据：版本、合成数据、预期/实际、日志和截图；实际证据未产生。</x:v>
      </x:c>
      <x:c r="I19" s="42" t="n">
        <x:f>MIN('任务与甘特'!T41)</x:f>
        <x:v>46353</x:v>
      </x:c>
      <x:c r="J19" s="42" t="n">
        <x:f>MAX('任务与甘特'!U41)</x:f>
        <x:v>46358</x:v>
      </x:c>
      <x:c r="K19" s="29" t="str">
        <x:v>自动运行≥72自然小时及恢复演练；人员仅计配置/观察</x:v>
      </x:c>
    </x:row>
    <x:row r="20" ht="58" customHeight="1">
      <x:c r="A20" s="9" t="str">
        <x:v>Q14</x:v>
      </x:c>
      <x:c r="B20" s="9" t="str">
        <x:v>安全与一致性</x:v>
      </x:c>
      <x:c r="C20" s="9" t="str">
        <x:v>范围鉴权、HTTPS/口令/TOTP、并发审计；严重高危漏洞0、状态无部分写入</x:v>
      </x:c>
      <x:c r="D20" s="9" t="str">
        <x:v>AC-13, NFR-06～09</x:v>
      </x:c>
      <x:c r="E20" s="9" t="str">
        <x:v>T4.6</x:v>
      </x:c>
      <x:c r="F20" s="9" t="str">
        <x:v>R04</x:v>
      </x:c>
      <x:c r="G20" s="9"/>
      <x:c r="H20" s="9" t="str">
        <x:v>预定证据：版本、合成数据、预期/实际、日志和截图；实际证据未产生。</x:v>
      </x:c>
      <x:c r="I20" s="42" t="n">
        <x:f>MIN('任务与甘特'!T39)</x:f>
        <x:v>46351</x:v>
      </x:c>
      <x:c r="J20" s="42" t="n">
        <x:f>MAX('任务与甘特'!U39)</x:f>
        <x:v>46353</x:v>
      </x:c>
      <x:c r="K20" s="29" t="str">
        <x:v>按SRS对应AC构造正常、异常和边界用例并评审证据</x:v>
      </x:c>
    </x:row>
    <x:row r="21" ht="58" customHeight="1">
      <x:c r="A21" s="9" t="str">
        <x:v>Q15</x:v>
      </x:c>
      <x:c r="B21" s="9" t="str">
        <x:v>兼容、监控与部署</x:v>
      </x:c>
      <x:c r="C21" s="9" t="str">
        <x:v>Chrome/Edge验收时最近两稳定主版本；规定分辨率与Excel/WPS；真实采集、部署迁移恢复回滚留证</x:v>
      </x:c>
      <x:c r="D21" s="9" t="str">
        <x:v>AC-14, NFR-10/11, IF-04</x:v>
      </x:c>
      <x:c r="E21" s="9" t="str">
        <x:v>T4.9</x:v>
      </x:c>
      <x:c r="F21" s="9" t="str">
        <x:v>R04</x:v>
      </x:c>
      <x:c r="G21" s="9"/>
      <x:c r="H21" s="9" t="str">
        <x:v>预定证据：版本、合成数据、预期/实际、日志和截图；实际证据未产生。</x:v>
      </x:c>
      <x:c r="I21" s="42" t="n">
        <x:f>MIN('任务与甘特'!T42)</x:f>
        <x:v>46351</x:v>
      </x:c>
      <x:c r="J21" s="42" t="n">
        <x:f>MAX('任务与甘特'!U42)</x:f>
        <x:v>46352</x:v>
      </x:c>
      <x:c r="K21" s="29" t="str">
        <x:v>按SRS对应AC构造正常、异常和边界用例并评审证据</x:v>
      </x:c>
    </x:row>
    <x:row r="22" ht="58" customHeight="1">
      <x:c r="A22" s="9" t="str">
        <x:v>Q16</x:v>
      </x:c>
      <x:c r="B22" s="9" t="str">
        <x:v>最终交付</x:v>
      </x:c>
      <x:c r="C22" s="9" t="str">
        <x:v>FR/NFR/IF逐条证据；关键必需测试100%；阻断严重功能缺陷0；最终通过包含AC-10B</x:v>
      </x:c>
      <x:c r="D22" s="9" t="str">
        <x:v>SRS 9.4–9.5</x:v>
      </x:c>
      <x:c r="E22" s="9" t="str">
        <x:v>T5.6</x:v>
      </x:c>
      <x:c r="F22" s="9" t="str">
        <x:v>R01</x:v>
      </x:c>
      <x:c r="G22" s="9"/>
      <x:c r="H22" s="9" t="str">
        <x:v>预定证据：版本、合成数据、预期/实际、日志和截图；实际证据未产生。</x:v>
      </x:c>
      <x:c r="I22" s="42" t="n">
        <x:f>MIN('任务与甘特'!T49)</x:f>
        <x:v>46367</x:v>
      </x:c>
      <x:c r="J22" s="42" t="n">
        <x:f>MAX('任务与甘特'!U49)</x:f>
        <x:v>46367</x:v>
      </x:c>
      <x:c r="K22" s="29" t="str">
        <x:v>按SRS对应AC构造正常、异常和边界用例并评审证据</x:v>
      </x:c>
    </x:row>
    <x:row r="23" ht="30" customHeight="1">
      <x:c r="A23" s="4"/>
      <x:c r="B23" s="4"/>
      <x:c r="C23" s="4"/>
      <x:c r="D23" s="4"/>
      <x:c r="E23" s="4"/>
      <x:c r="F23" s="4"/>
      <x:c r="G23" s="4"/>
      <x:c r="H23" s="4"/>
    </x:row>
    <x:row r="24" ht="30" customHeight="1">
      <x:c r="A24" s="4"/>
      <x:c r="B24" s="4"/>
      <x:c r="C24" s="4"/>
      <x:c r="D24" s="4"/>
      <x:c r="E24" s="4"/>
      <x:c r="F24" s="4"/>
      <x:c r="G24" s="4"/>
      <x:c r="H24" s="4"/>
    </x:row>
    <x:row r="25" ht="85" customHeight="1">
      <x:c r="A25" s="11" t="str">
        <x:v>复核节点</x:v>
      </x:c>
      <x:c r="B25" s="11" t="str">
        <x:v>拟定复核内容</x:v>
      </x:c>
      <x:c r="C25" s="11" t="str">
        <x:v>预定成果</x:v>
      </x:c>
      <x:c r="D25" s="11" t="str">
        <x:v>计划版本</x:v>
      </x:c>
      <x:c r="E25" s="11" t="str">
        <x:v>实际日期</x:v>
      </x:c>
      <x:c r="F25" s="11" t="str">
        <x:v>编制/复核人</x:v>
      </x:c>
      <x:c r="G25" s="11" t="str">
        <x:v>变更影响</x:v>
      </x:c>
      <x:c r="H25" s="11" t="str">
        <x:v>处理说明</x:v>
      </x:c>
      <x:c r="I25" s="40" t="str">
        <x:v>拟定复核日期</x:v>
      </x:c>
    </x:row>
    <x:row r="26" ht="85" customHeight="1">
      <x:c r="A26" s="9" t="str">
        <x:v>W2</x:v>
      </x:c>
      <x:c r="B26" s="9" t="str">
        <x:v>随设计细化WBS与估算</x:v>
      </x:c>
      <x:c r="C26" s="9" t="str">
        <x:v>细化任务依赖、资源和费用</x:v>
      </x:c>
      <x:c r="D26" s="9" t="str">
        <x:v>V1.1（拟定）</x:v>
      </x:c>
      <x:c r="E26" s="9"/>
      <x:c r="F26" s="9" t="str">
        <x:v>R01编制、R04复核</x:v>
      </x:c>
      <x:c r="G26" s="9"/>
      <x:c r="H26" s="9" t="str">
        <x:v>拟定复核：范围、进度、资源、成本与质量；实际日期和变更影响发生后填写。</x:v>
      </x:c>
      <x:c r="I26" s="45" t="n">
        <x:f>WORKDAY('项目总表'!$B$15-1,10)</x:f>
        <x:v>46325</x:v>
      </x:c>
    </x:row>
    <x:row r="27" ht="85" customHeight="1">
      <x:c r="A27" s="9" t="str">
        <x:v>W4</x:v>
      </x:c>
      <x:c r="B27" s="9" t="str">
        <x:v>主业务链阶段复核</x:v>
      </x:c>
      <x:c r="C27" s="9" t="str">
        <x:v>更新进度、负荷、质量和成本</x:v>
      </x:c>
      <x:c r="D27" s="9" t="str">
        <x:v>V1.2（拟定）</x:v>
      </x:c>
      <x:c r="E27" s="9"/>
      <x:c r="F27" s="9" t="str">
        <x:v>R01编制、R04复核</x:v>
      </x:c>
      <x:c r="G27" s="9"/>
      <x:c r="H27" s="9" t="str">
        <x:v>拟定复核：范围、进度、资源、成本与质量；实际日期和变更影响发生后填写。</x:v>
      </x:c>
      <x:c r="I27" s="45" t="n">
        <x:f>WORKDAY('项目总表'!$B$15-1,20)</x:f>
        <x:v>46339</x:v>
      </x:c>
    </x:row>
    <x:row r="28" ht="85" customHeight="1">
      <x:c r="A28" s="9" t="str">
        <x:v>W6</x:v>
      </x:c>
      <x:c r="B28" s="9" t="str">
        <x:v>本地集成及外部条件复核</x:v>
      </x:c>
      <x:c r="C28" s="9" t="str">
        <x:v>复核剩余任务与真实交换影响</x:v>
      </x:c>
      <x:c r="D28" s="9" t="str">
        <x:v>V1.3（拟定）</x:v>
      </x:c>
      <x:c r="E28" s="9"/>
      <x:c r="F28" s="9" t="str">
        <x:v>R01编制、R04复核</x:v>
      </x:c>
      <x:c r="G28" s="9"/>
      <x:c r="H28" s="9" t="str">
        <x:v>拟定复核：范围、进度、资源、成本与质量；实际日期和变更影响发生后填写。</x:v>
      </x:c>
      <x:c r="I28" s="45" t="n">
        <x:f>WORKDAY('项目总表'!$B$15-1,30)</x:f>
        <x:v>46353</x:v>
      </x:c>
    </x:row>
    <x:row r="29" ht="85" customHeight="1">
      <x:c r="A29" s="9" t="str">
        <x:v>W8</x:v>
      </x:c>
      <x:c r="B29" s="9" t="str">
        <x:v>汇总模拟过程并定稿</x:v>
      </x:c>
      <x:c r="C29" s="9" t="str">
        <x:v>完整项目计划及迭代说明</x:v>
      </x:c>
      <x:c r="D29" s="9" t="str">
        <x:v>V1.4（拟定）</x:v>
      </x:c>
      <x:c r="E29" s="9"/>
      <x:c r="F29" s="9" t="str">
        <x:v>R01编制、R04复核</x:v>
      </x:c>
      <x:c r="G29" s="9"/>
      <x:c r="H29" s="9" t="str">
        <x:v>拟定复核：范围、进度、资源、成本与质量；实际日期和变更影响发生后填写。</x:v>
      </x:c>
      <x:c r="I29" s="45" t="n">
        <x:f>WORKDAY('项目总表'!$B$15-1,40)</x:f>
        <x:v>46367</x:v>
      </x:c>
    </x:row>
    <x:row r="30" ht="30" customHeight="1">
      <x:c r="A30" s="4"/>
      <x:c r="B30" s="4"/>
      <x:c r="C30" s="4"/>
      <x:c r="D30" s="4"/>
      <x:c r="E30" s="4"/>
      <x:c r="F30" s="4"/>
      <x:c r="G30" s="4"/>
      <x:c r="H30" s="4"/>
    </x:row>
    <x:row r="31" ht="30" customHeight="1">
      <x:c r="A31" s="4"/>
      <x:c r="B31" s="4"/>
      <x:c r="C31" s="4"/>
      <x:c r="D31" s="4"/>
      <x:c r="E31" s="4"/>
      <x:c r="F31" s="4"/>
      <x:c r="G31" s="4"/>
      <x:c r="H31" s="4"/>
    </x:row>
    <x:row r="32" ht="38" customHeight="1">
      <x:c r="A32" s="11" t="str">
        <x:v>风险ID</x:v>
      </x:c>
      <x:c r="B32" s="11" t="str">
        <x:v>需关注的条件</x:v>
      </x:c>
      <x:c r="C32" s="11" t="str">
        <x:v>可能影响</x:v>
      </x:c>
      <x:c r="D32" s="11" t="str">
        <x:v>初稿应对安排</x:v>
      </x:c>
      <x:c r="E32" s="11" t="str">
        <x:v>责任人</x:v>
      </x:c>
      <x:c r="F32" s="11" t="str">
        <x:v>时间储备</x:v>
      </x:c>
      <x:c r="G32" s="11" t="str">
        <x:v>费用储备</x:v>
      </x:c>
      <x:c r="H32" s="11" t="str">
        <x:v>状态</x:v>
      </x:c>
    </x:row>
    <x:row r="33" ht="88" customHeight="1">
      <x:c r="A33" s="9" t="str">
        <x:v>RK01</x:v>
      </x:c>
      <x:c r="B33" s="9" t="str">
        <x:v>人员能力或AI效率低于假设</x:v>
      </x:c>
      <x:c r="C33" s="9" t="str">
        <x:v>开发投入上升，8周计划可能失效</x:v>
      </x:c>
      <x:c r="D33" s="9" t="str">
        <x:v>W2/W4复核效率，优先调分工和资源；必要时重排，不降低验收标准</x:v>
      </x:c>
      <x:c r="E33" s="9" t="str">
        <x:v>R01</x:v>
      </x:c>
      <x:c r="F33" s="9" t="str">
        <x:v>利用任务时差与未分配容量</x:v>
      </x:c>
      <x:c r="G33" s="9" t="str">
        <x:v>共享C14储备</x:v>
      </x:c>
      <x:c r="H33" s="9" t="str">
        <x:v>仿真假设，实际情况待确认</x:v>
      </x:c>
    </x:row>
    <x:row r="34" ht="88" customHeight="1">
      <x:c r="A34" s="9" t="str">
        <x:v>RK02</x:v>
      </x:c>
      <x:c r="B34" s="9" t="str">
        <x:v>真实交换条件未于W2具备</x:v>
      </x:c>
      <x:c r="C34" s="9" t="str">
        <x:v>REAL适配、AC-10B和验收延迟</x:v>
      </x:c>
      <x:c r="D34" s="9" t="str">
        <x:v>W2核对外部输入；缺失则记录影响并重排，不用MOCK算通过</x:v>
      </x:c>
      <x:c r="E34" s="9" t="str">
        <x:v>R01/R02</x:v>
      </x:c>
      <x:c r="F34" s="9" t="str">
        <x:v>以Project重算为准</x:v>
      </x:c>
      <x:c r="G34" s="9" t="str">
        <x:v>共享C14储备</x:v>
      </x:c>
      <x:c r="H34" s="9" t="str">
        <x:v>已假设W2可用，未声明实际具备</x:v>
      </x:c>
    </x:row>
    <x:row r="35" ht="88" customHeight="1">
      <x:c r="A35" s="9" t="str">
        <x:v>RK03</x:v>
      </x:c>
      <x:c r="B35" s="9" t="str">
        <x:v>负载环境或部署资源不足</x:v>
      </x:c>
      <x:c r="C35" s="9" t="str">
        <x:v>性能、72小时运行与试运行受影响</x:v>
      </x:c>
      <x:c r="D35" s="9" t="str">
        <x:v>C06预留独立负载/应用数据库资源，QA复核运行限额</x:v>
      </x:c>
      <x:c r="E35" s="9" t="str">
        <x:v>R04</x:v>
      </x:c>
      <x:c r="F35" s="9" t="str">
        <x:v>利用任务时差</x:v>
      </x:c>
      <x:c r="G35" s="9" t="str">
        <x:v>共享C14储备</x:v>
      </x:c>
      <x:c r="H35" s="9" t="str">
        <x:v>资源费用为仿真估算</x:v>
      </x:c>
    </x:row>
    <x:row r="36" ht="88" customHeight="1">
      <x:c r="A36" s="9" t="str">
        <x:v>RK04</x:v>
      </x:c>
      <x:c r="B36" s="9" t="str">
        <x:v>投入、费率或分摊变化</x:v>
      </x:c>
      <x:c r="C36" s="9" t="str">
        <x:v>实际成本偏离预算</x:v>
      </x:c>
      <x:c r="D36" s="9" t="str">
        <x:v>按任务工时和分周预算持续对比，偏差触发版本调整</x:v>
      </x:c>
      <x:c r="E36" s="9" t="str">
        <x:v>R01</x:v>
      </x:c>
      <x:c r="F36" s="9" t="str">
        <x:v>不增加固定期限</x:v>
      </x:c>
      <x:c r="G36" s="9" t="str">
        <x:v>共享C14储备</x:v>
      </x:c>
      <x:c r="H36" s="9" t="str">
        <x:v>实际成本与偏差尚未发生</x:v>
      </x:c>
    </x:row>
    <x:row r="37" ht="88" customHeight="1">
      <x:c r="A37" s="9" t="str">
        <x:v>RK05</x:v>
      </x:c>
      <x:c r="B37" s="9" t="str">
        <x:v>原型或组件不能按假设复用</x:v>
      </x:c>
      <x:c r="C37" s="9" t="str">
        <x:v>重新实现工作量上升</x:v>
      </x:c>
      <x:c r="D37" s="9" t="str">
        <x:v>仅复用需求和交互设计，核验库和组件；正式后端/交换仍需开发验证</x:v>
      </x:c>
      <x:c r="E37" s="9" t="str">
        <x:v>R02</x:v>
      </x:c>
      <x:c r="F37" s="9" t="str">
        <x:v>重排并评估8周可行性</x:v>
      </x:c>
      <x:c r="G37" s="9" t="str">
        <x:v>共享C14储备</x:v>
      </x:c>
      <x:c r="H37" s="9" t="str">
        <x:v>不将离线原型视为正式功能已完成</x:v>
      </x:c>
    </x:row>
    <x:row r="38" ht="30" customHeight="1">
      <x:c r="A38" s="4"/>
      <x:c r="B38" s="4"/>
      <x:c r="C38" s="4"/>
      <x:c r="D38" s="4"/>
      <x:c r="E38" s="4"/>
      <x:c r="F38" s="4"/>
      <x:c r="G38" s="4"/>
      <x:c r="H38" s="4"/>
    </x:row>
    <x:row r="39" ht="30" customHeight="1">
      <x:c r="A39" s="4"/>
      <x:c r="B39" s="4"/>
      <x:c r="C39" s="4"/>
      <x:c r="D39" s="4"/>
      <x:c r="E39" s="4"/>
      <x:c r="F39" s="4"/>
      <x:c r="G39" s="4"/>
      <x:c r="H39" s="4"/>
    </x:row>
    <x:row r="40" ht="42" customHeight="1">
      <x:c r="A40" s="31" t="str">
        <x:v>本次计划迭代</x:v>
      </x:c>
      <x:c r="B40" s="31" t="str">
        <x:v>完成日期</x:v>
      </x:c>
      <x:c r="C40" s="31" t="str">
        <x:v>版本</x:v>
      </x:c>
      <x:c r="D40" s="31" t="str">
        <x:v>人员</x:v>
      </x:c>
      <x:c r="E40" s="31" t="str">
        <x:v>进度变化</x:v>
      </x:c>
      <x:c r="F40" s="31" t="str">
        <x:v>资源变化</x:v>
      </x:c>
      <x:c r="G40" s="31" t="str">
        <x:v>成本变化</x:v>
      </x:c>
      <x:c r="H40" s="31" t="str">
        <x:v>说明</x:v>
      </x:c>
    </x:row>
    <x:row r="41" ht="58" customHeight="1">
      <x:c r="A41" s="29" t="str">
        <x:v>V0.1→V1.0</x:v>
      </x:c>
      <x:c r="B41" s="42" t="d">
        <x:v>2026-10-14T00:00:00.000Z</x:v>
      </x:c>
      <x:c r="C41" s="29" t="str">
        <x:v>V1.0</x:v>
      </x:c>
      <x:c r="D41" s="29" t="str">
        <x:v>R01/R04</x:v>
      </x:c>
      <x:c r="E41" s="29" t="str">
        <x:v>补齐40工作日排期及FS/SS关系</x:v>
      </x:c>
      <x:c r="F41" s="29" t="str">
        <x:v>由未定槽位改为4人，逐日核验负荷</x:v>
      </x:c>
      <x:c r="G41" s="29" t="str">
        <x:v>估算并分周编制基准与10%储备</x:v>
      </x:c>
      <x:c r="H41" s="29" t="str">
        <x:v>仅完成仿真计划编制，不是软件执行成果</x:v>
      </x:c>
    </x:row>
    <x:row r="42" ht="30" customHeight="1">
      <x:c r="A42" s="4"/>
      <x:c r="B42" s="4"/>
      <x:c r="C42" s="4"/>
      <x:c r="D42" s="4"/>
      <x:c r="E42" s="4"/>
      <x:c r="F42" s="4"/>
      <x:c r="G42" s="4"/>
      <x:c r="H42" s="4"/>
    </x:row>
    <x:row r="43" ht="30" customHeight="1">
      <x:c r="A43" s="4"/>
      <x:c r="B43" s="4"/>
      <x:c r="C43" s="4"/>
      <x:c r="D43" s="4"/>
      <x:c r="E43" s="4"/>
      <x:c r="F43" s="4"/>
      <x:c r="G43" s="4"/>
      <x:c r="H43" s="4"/>
    </x:row>
    <x:row r="44" ht="30" customHeight="1">
      <x:c r="A44" s="4"/>
      <x:c r="B44" s="4"/>
      <x:c r="C44" s="4"/>
      <x:c r="D44" s="4"/>
      <x:c r="E44" s="4"/>
      <x:c r="F44" s="4"/>
      <x:c r="G44" s="4"/>
      <x:c r="H44" s="4"/>
    </x:row>
    <x:row r="45" ht="30" customHeight="1">
      <x:c r="A45" s="4"/>
      <x:c r="B45" s="4"/>
      <x:c r="C45" s="4"/>
      <x:c r="D45" s="4"/>
      <x:c r="E45" s="4"/>
      <x:c r="F45" s="4"/>
      <x:c r="G45" s="4"/>
      <x:c r="H45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  <x:col min="25" max="25" width="7.5" hidden="0" customWidth="1"/>
    <x:col min="26" max="26" width="7.5" hidden="0" customWidth="1"/>
    <x:col min="27" max="27" width="7.5" hidden="0" customWidth="1"/>
    <x:col min="28" max="28" width="7.5" hidden="0" customWidth="1"/>
    <x:col min="29" max="29" width="7.5" hidden="0" customWidth="1"/>
    <x:col min="30" max="30" width="7.5" hidden="0" customWidth="1"/>
    <x:col min="31" max="31" width="7.5" hidden="0" customWidth="1"/>
    <x:col min="32" max="32" width="7.5" hidden="0" customWidth="1"/>
    <x:col min="33" max="33" width="7.5" hidden="0" customWidth="1"/>
    <x:col min="34" max="34" width="7.5" hidden="0" customWidth="1"/>
    <x:col min="35" max="35" width="7.5" hidden="0" customWidth="1"/>
    <x:col min="36" max="36" width="7.5" hidden="0" customWidth="1"/>
    <x:col min="37" max="37" width="7.5" hidden="0" customWidth="1"/>
    <x:col min="38" max="38" width="7.5" hidden="0" customWidth="1"/>
    <x:col min="39" max="39" width="7.5" hidden="0" customWidth="1"/>
    <x:col min="40" max="40" width="7.5" hidden="0" customWidth="1"/>
    <x:col min="41" max="41" width="7.5" hidden="0" customWidth="1"/>
    <x:col min="42" max="42" width="7.5" hidden="0" customWidth="1"/>
  </x:cols>
  <x:sheetData>
    <x:row r="1" ht="38" customHeight="1">
      <x:c r="A1" s="28"/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8"/>
      <x:c r="AG1" s="28"/>
      <x:c r="AH1" s="28"/>
      <x:c r="AI1" s="28"/>
      <x:c r="AJ1" s="28"/>
      <x:c r="AK1" s="28"/>
      <x:c r="AL1" s="28"/>
      <x:c r="AM1" s="28"/>
      <x:c r="AN1" s="28"/>
      <x:c r="AO1" s="28"/>
      <x:c r="AP1" s="28"/>
    </x:row>
    <x:row r="2" ht="38" customHeight="1">
      <x:c r="A2" s="48" t="str">
        <x:v>日期甘特图（4人8周仿真）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  <x:c r="AG2" s="28"/>
      <x:c r="AH2" s="28"/>
      <x:c r="AI2" s="28"/>
      <x:c r="AJ2" s="28"/>
      <x:c r="AK2" s="28"/>
      <x:c r="AL2" s="28"/>
      <x:c r="AM2" s="28"/>
      <x:c r="AN2" s="28"/>
      <x:c r="AO2" s="28"/>
      <x:c r="AP2" s="28"/>
    </x:row>
    <x:row r="3" ht="38" customHeight="1">
      <x:c r="A3" s="49" t="str">
        <x:v>2026-10-19至2026-12-11，周一至周五；黑色方块为计划活动日，实际执行尚未发生。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</x:row>
    <x:row r="4" ht="38" customHeight="1">
      <x:c r="A4" s="28"/>
      <x:c r="B4" s="28"/>
      <x:c r="C4" s="50" t="str">
        <x:v>W1</x:v>
      </x:c>
      <x:c r="D4" s="50"/>
      <x:c r="E4" s="50"/>
      <x:c r="F4" s="50"/>
      <x:c r="G4" s="50"/>
      <x:c r="H4" s="50" t="str">
        <x:v>W2</x:v>
      </x:c>
      <x:c r="I4" s="50"/>
      <x:c r="J4" s="50"/>
      <x:c r="K4" s="50"/>
      <x:c r="L4" s="50"/>
      <x:c r="M4" s="50" t="str">
        <x:v>W3</x:v>
      </x:c>
      <x:c r="N4" s="50"/>
      <x:c r="O4" s="50"/>
      <x:c r="P4" s="50"/>
      <x:c r="Q4" s="50"/>
      <x:c r="R4" s="50" t="str">
        <x:v>W4</x:v>
      </x:c>
      <x:c r="S4" s="50"/>
      <x:c r="T4" s="50"/>
      <x:c r="U4" s="50"/>
      <x:c r="V4" s="50"/>
      <x:c r="W4" s="50" t="str">
        <x:v>W5</x:v>
      </x:c>
      <x:c r="X4" s="50"/>
      <x:c r="Y4" s="50"/>
      <x:c r="Z4" s="50"/>
      <x:c r="AA4" s="50"/>
      <x:c r="AB4" s="50" t="str">
        <x:v>W6</x:v>
      </x:c>
      <x:c r="AC4" s="50"/>
      <x:c r="AD4" s="50"/>
      <x:c r="AE4" s="50"/>
      <x:c r="AF4" s="50"/>
      <x:c r="AG4" s="50" t="str">
        <x:v>W7</x:v>
      </x:c>
      <x:c r="AH4" s="50"/>
      <x:c r="AI4" s="50"/>
      <x:c r="AJ4" s="50"/>
      <x:c r="AK4" s="50"/>
      <x:c r="AL4" s="50" t="str">
        <x:v>W8</x:v>
      </x:c>
      <x:c r="AM4" s="50"/>
      <x:c r="AN4" s="50"/>
      <x:c r="AO4" s="50"/>
      <x:c r="AP4" s="50"/>
    </x:row>
    <x:row r="5" ht="38" customHeight="1">
      <x:c r="A5" s="30" t="str">
        <x:v>WBS</x:v>
      </x:c>
      <x:c r="B5" s="30" t="str">
        <x:v>任务名称</x:v>
      </x:c>
      <x:c r="C5" s="55" t="n">
        <x:f>WORKDAY('项目总表'!$B$15-1,1)</x:f>
        <x:v>46314</x:v>
      </x:c>
      <x:c r="D5" s="55" t="n">
        <x:f>WORKDAY('项目总表'!$B$15-1,2)</x:f>
        <x:v>46315</x:v>
      </x:c>
      <x:c r="E5" s="55" t="n">
        <x:f>WORKDAY('项目总表'!$B$15-1,3)</x:f>
        <x:v>46316</x:v>
      </x:c>
      <x:c r="F5" s="55" t="n">
        <x:f>WORKDAY('项目总表'!$B$15-1,4)</x:f>
        <x:v>46317</x:v>
      </x:c>
      <x:c r="G5" s="55" t="n">
        <x:f>WORKDAY('项目总表'!$B$15-1,5)</x:f>
        <x:v>46318</x:v>
      </x:c>
      <x:c r="H5" s="55" t="n">
        <x:f>WORKDAY('项目总表'!$B$15-1,6)</x:f>
        <x:v>46321</x:v>
      </x:c>
      <x:c r="I5" s="55" t="n">
        <x:f>WORKDAY('项目总表'!$B$15-1,7)</x:f>
        <x:v>46322</x:v>
      </x:c>
      <x:c r="J5" s="55" t="n">
        <x:f>WORKDAY('项目总表'!$B$15-1,8)</x:f>
        <x:v>46323</x:v>
      </x:c>
      <x:c r="K5" s="55" t="n">
        <x:f>WORKDAY('项目总表'!$B$15-1,9)</x:f>
        <x:v>46324</x:v>
      </x:c>
      <x:c r="L5" s="55" t="n">
        <x:f>WORKDAY('项目总表'!$B$15-1,10)</x:f>
        <x:v>46325</x:v>
      </x:c>
      <x:c r="M5" s="55" t="n">
        <x:f>WORKDAY('项目总表'!$B$15-1,11)</x:f>
        <x:v>46328</x:v>
      </x:c>
      <x:c r="N5" s="55" t="n">
        <x:f>WORKDAY('项目总表'!$B$15-1,12)</x:f>
        <x:v>46329</x:v>
      </x:c>
      <x:c r="O5" s="55" t="n">
        <x:f>WORKDAY('项目总表'!$B$15-1,13)</x:f>
        <x:v>46330</x:v>
      </x:c>
      <x:c r="P5" s="55" t="n">
        <x:f>WORKDAY('项目总表'!$B$15-1,14)</x:f>
        <x:v>46331</x:v>
      </x:c>
      <x:c r="Q5" s="55" t="n">
        <x:f>WORKDAY('项目总表'!$B$15-1,15)</x:f>
        <x:v>46332</x:v>
      </x:c>
      <x:c r="R5" s="55" t="n">
        <x:f>WORKDAY('项目总表'!$B$15-1,16)</x:f>
        <x:v>46335</x:v>
      </x:c>
      <x:c r="S5" s="55" t="n">
        <x:f>WORKDAY('项目总表'!$B$15-1,17)</x:f>
        <x:v>46336</x:v>
      </x:c>
      <x:c r="T5" s="55" t="n">
        <x:f>WORKDAY('项目总表'!$B$15-1,18)</x:f>
        <x:v>46337</x:v>
      </x:c>
      <x:c r="U5" s="55" t="n">
        <x:f>WORKDAY('项目总表'!$B$15-1,19)</x:f>
        <x:v>46338</x:v>
      </x:c>
      <x:c r="V5" s="55" t="n">
        <x:f>WORKDAY('项目总表'!$B$15-1,20)</x:f>
        <x:v>46339</x:v>
      </x:c>
      <x:c r="W5" s="55" t="n">
        <x:f>WORKDAY('项目总表'!$B$15-1,21)</x:f>
        <x:v>46342</x:v>
      </x:c>
      <x:c r="X5" s="55" t="n">
        <x:f>WORKDAY('项目总表'!$B$15-1,22)</x:f>
        <x:v>46343</x:v>
      </x:c>
      <x:c r="Y5" s="55" t="n">
        <x:f>WORKDAY('项目总表'!$B$15-1,23)</x:f>
        <x:v>46344</x:v>
      </x:c>
      <x:c r="Z5" s="55" t="n">
        <x:f>WORKDAY('项目总表'!$B$15-1,24)</x:f>
        <x:v>46345</x:v>
      </x:c>
      <x:c r="AA5" s="55" t="n">
        <x:f>WORKDAY('项目总表'!$B$15-1,25)</x:f>
        <x:v>46346</x:v>
      </x:c>
      <x:c r="AB5" s="55" t="n">
        <x:f>WORKDAY('项目总表'!$B$15-1,26)</x:f>
        <x:v>46349</x:v>
      </x:c>
      <x:c r="AC5" s="55" t="n">
        <x:f>WORKDAY('项目总表'!$B$15-1,27)</x:f>
        <x:v>46350</x:v>
      </x:c>
      <x:c r="AD5" s="55" t="n">
        <x:f>WORKDAY('项目总表'!$B$15-1,28)</x:f>
        <x:v>46351</x:v>
      </x:c>
      <x:c r="AE5" s="55" t="n">
        <x:f>WORKDAY('项目总表'!$B$15-1,29)</x:f>
        <x:v>46352</x:v>
      </x:c>
      <x:c r="AF5" s="55" t="n">
        <x:f>WORKDAY('项目总表'!$B$15-1,30)</x:f>
        <x:v>46353</x:v>
      </x:c>
      <x:c r="AG5" s="55" t="n">
        <x:f>WORKDAY('项目总表'!$B$15-1,31)</x:f>
        <x:v>46356</x:v>
      </x:c>
      <x:c r="AH5" s="55" t="n">
        <x:f>WORKDAY('项目总表'!$B$15-1,32)</x:f>
        <x:v>46357</x:v>
      </x:c>
      <x:c r="AI5" s="55" t="n">
        <x:f>WORKDAY('项目总表'!$B$15-1,33)</x:f>
        <x:v>46358</x:v>
      </x:c>
      <x:c r="AJ5" s="55" t="n">
        <x:f>WORKDAY('项目总表'!$B$15-1,34)</x:f>
        <x:v>46359</x:v>
      </x:c>
      <x:c r="AK5" s="55" t="n">
        <x:f>WORKDAY('项目总表'!$B$15-1,35)</x:f>
        <x:v>46360</x:v>
      </x:c>
      <x:c r="AL5" s="55" t="n">
        <x:f>WORKDAY('项目总表'!$B$15-1,36)</x:f>
        <x:v>46363</x:v>
      </x:c>
      <x:c r="AM5" s="55" t="n">
        <x:f>WORKDAY('项目总表'!$B$15-1,37)</x:f>
        <x:v>46364</x:v>
      </x:c>
      <x:c r="AN5" s="55" t="n">
        <x:f>WORKDAY('项目总表'!$B$15-1,38)</x:f>
        <x:v>46365</x:v>
      </x:c>
      <x:c r="AO5" s="55" t="n">
        <x:f>WORKDAY('项目总表'!$B$15-1,39)</x:f>
        <x:v>46366</x:v>
      </x:c>
      <x:c r="AP5" s="55" t="n">
        <x:f>WORKDAY('项目总表'!$B$15-1,40)</x:f>
        <x:v>46367</x:v>
      </x:c>
    </x:row>
    <x:row r="6" ht="38" customHeight="1">
      <x:c r="A6" s="29" t="str">
        <x:f>'任务与甘特'!A7</x:f>
        <x:v>T1.1</x:v>
      </x:c>
      <x:c r="B6" s="29" t="str">
        <x:f>'任务与甘特'!B7</x:f>
        <x:v>核对需求范围与覆盖</x:v>
      </x:c>
      <x:c r="C6" s="56" t="str">
        <x:f>IF(AND(C$5&gt;='任务与甘特'!$T7,C$5&lt;='任务与甘特'!$U7),"■","")</x:f>
        <x:v>■</x:v>
      </x:c>
      <x:c r="D6" s="56" t="str">
        <x:f>IF(AND(D$5&gt;='任务与甘特'!$T7,D$5&lt;='任务与甘特'!$U7),"■","")</x:f>
      </x:c>
      <x:c r="E6" s="56" t="str">
        <x:f>IF(AND(E$5&gt;='任务与甘特'!$T7,E$5&lt;='任务与甘特'!$U7),"■","")</x:f>
      </x:c>
      <x:c r="F6" s="56" t="str">
        <x:f>IF(AND(F$5&gt;='任务与甘特'!$T7,F$5&lt;='任务与甘特'!$U7),"■","")</x:f>
      </x:c>
      <x:c r="G6" s="56" t="str">
        <x:f>IF(AND(G$5&gt;='任务与甘特'!$T7,G$5&lt;='任务与甘特'!$U7),"■","")</x:f>
      </x:c>
      <x:c r="H6" s="56" t="str">
        <x:f>IF(AND(H$5&gt;='任务与甘特'!$T7,H$5&lt;='任务与甘特'!$U7),"■","")</x:f>
      </x:c>
      <x:c r="I6" s="56" t="str">
        <x:f>IF(AND(I$5&gt;='任务与甘特'!$T7,I$5&lt;='任务与甘特'!$U7),"■","")</x:f>
      </x:c>
      <x:c r="J6" s="56" t="str">
        <x:f>IF(AND(J$5&gt;='任务与甘特'!$T7,J$5&lt;='任务与甘特'!$U7),"■","")</x:f>
      </x:c>
      <x:c r="K6" s="56" t="str">
        <x:f>IF(AND(K$5&gt;='任务与甘特'!$T7,K$5&lt;='任务与甘特'!$U7),"■","")</x:f>
      </x:c>
      <x:c r="L6" s="56" t="str">
        <x:f>IF(AND(L$5&gt;='任务与甘特'!$T7,L$5&lt;='任务与甘特'!$U7),"■","")</x:f>
      </x:c>
      <x:c r="M6" s="56" t="str">
        <x:f>IF(AND(M$5&gt;='任务与甘特'!$T7,M$5&lt;='任务与甘特'!$U7),"■","")</x:f>
      </x:c>
      <x:c r="N6" s="56" t="str">
        <x:f>IF(AND(N$5&gt;='任务与甘特'!$T7,N$5&lt;='任务与甘特'!$U7),"■","")</x:f>
      </x:c>
      <x:c r="O6" s="56" t="str">
        <x:f>IF(AND(O$5&gt;='任务与甘特'!$T7,O$5&lt;='任务与甘特'!$U7),"■","")</x:f>
      </x:c>
      <x:c r="P6" s="56" t="str">
        <x:f>IF(AND(P$5&gt;='任务与甘特'!$T7,P$5&lt;='任务与甘特'!$U7),"■","")</x:f>
      </x:c>
      <x:c r="Q6" s="56" t="str">
        <x:f>IF(AND(Q$5&gt;='任务与甘特'!$T7,Q$5&lt;='任务与甘特'!$U7),"■","")</x:f>
      </x:c>
      <x:c r="R6" s="56" t="str">
        <x:f>IF(AND(R$5&gt;='任务与甘特'!$T7,R$5&lt;='任务与甘特'!$U7),"■","")</x:f>
      </x:c>
      <x:c r="S6" s="56" t="str">
        <x:f>IF(AND(S$5&gt;='任务与甘特'!$T7,S$5&lt;='任务与甘特'!$U7),"■","")</x:f>
      </x:c>
      <x:c r="T6" s="56" t="str">
        <x:f>IF(AND(T$5&gt;='任务与甘特'!$T7,T$5&lt;='任务与甘特'!$U7),"■","")</x:f>
      </x:c>
      <x:c r="U6" s="56" t="str">
        <x:f>IF(AND(U$5&gt;='任务与甘特'!$T7,U$5&lt;='任务与甘特'!$U7),"■","")</x:f>
      </x:c>
      <x:c r="V6" s="56" t="str">
        <x:f>IF(AND(V$5&gt;='任务与甘特'!$T7,V$5&lt;='任务与甘特'!$U7),"■","")</x:f>
      </x:c>
      <x:c r="W6" s="56" t="str">
        <x:f>IF(AND(W$5&gt;='任务与甘特'!$T7,W$5&lt;='任务与甘特'!$U7),"■","")</x:f>
      </x:c>
      <x:c r="X6" s="56" t="str">
        <x:f>IF(AND(X$5&gt;='任务与甘特'!$T7,X$5&lt;='任务与甘特'!$U7),"■","")</x:f>
      </x:c>
      <x:c r="Y6" s="56" t="str">
        <x:f>IF(AND(Y$5&gt;='任务与甘特'!$T7,Y$5&lt;='任务与甘特'!$U7),"■","")</x:f>
      </x:c>
      <x:c r="Z6" s="56" t="str">
        <x:f>IF(AND(Z$5&gt;='任务与甘特'!$T7,Z$5&lt;='任务与甘特'!$U7),"■","")</x:f>
      </x:c>
      <x:c r="AA6" s="56" t="str">
        <x:f>IF(AND(AA$5&gt;='任务与甘特'!$T7,AA$5&lt;='任务与甘特'!$U7),"■","")</x:f>
      </x:c>
      <x:c r="AB6" s="56" t="str">
        <x:f>IF(AND(AB$5&gt;='任务与甘特'!$T7,AB$5&lt;='任务与甘特'!$U7),"■","")</x:f>
      </x:c>
      <x:c r="AC6" s="56" t="str">
        <x:f>IF(AND(AC$5&gt;='任务与甘特'!$T7,AC$5&lt;='任务与甘特'!$U7),"■","")</x:f>
      </x:c>
      <x:c r="AD6" s="56" t="str">
        <x:f>IF(AND(AD$5&gt;='任务与甘特'!$T7,AD$5&lt;='任务与甘特'!$U7),"■","")</x:f>
      </x:c>
      <x:c r="AE6" s="56" t="str">
        <x:f>IF(AND(AE$5&gt;='任务与甘特'!$T7,AE$5&lt;='任务与甘特'!$U7),"■","")</x:f>
      </x:c>
      <x:c r="AF6" s="56" t="str">
        <x:f>IF(AND(AF$5&gt;='任务与甘特'!$T7,AF$5&lt;='任务与甘特'!$U7),"■","")</x:f>
      </x:c>
      <x:c r="AG6" s="56" t="str">
        <x:f>IF(AND(AG$5&gt;='任务与甘特'!$T7,AG$5&lt;='任务与甘特'!$U7),"■","")</x:f>
      </x:c>
      <x:c r="AH6" s="56" t="str">
        <x:f>IF(AND(AH$5&gt;='任务与甘特'!$T7,AH$5&lt;='任务与甘特'!$U7),"■","")</x:f>
      </x:c>
      <x:c r="AI6" s="56" t="str">
        <x:f>IF(AND(AI$5&gt;='任务与甘特'!$T7,AI$5&lt;='任务与甘特'!$U7),"■","")</x:f>
      </x:c>
      <x:c r="AJ6" s="56" t="str">
        <x:f>IF(AND(AJ$5&gt;='任务与甘特'!$T7,AJ$5&lt;='任务与甘特'!$U7),"■","")</x:f>
      </x:c>
      <x:c r="AK6" s="56" t="str">
        <x:f>IF(AND(AK$5&gt;='任务与甘特'!$T7,AK$5&lt;='任务与甘特'!$U7),"■","")</x:f>
      </x:c>
      <x:c r="AL6" s="56" t="str">
        <x:f>IF(AND(AL$5&gt;='任务与甘特'!$T7,AL$5&lt;='任务与甘特'!$U7),"■","")</x:f>
      </x:c>
      <x:c r="AM6" s="56" t="str">
        <x:f>IF(AND(AM$5&gt;='任务与甘特'!$T7,AM$5&lt;='任务与甘特'!$U7),"■","")</x:f>
      </x:c>
      <x:c r="AN6" s="56" t="str">
        <x:f>IF(AND(AN$5&gt;='任务与甘特'!$T7,AN$5&lt;='任务与甘特'!$U7),"■","")</x:f>
      </x:c>
      <x:c r="AO6" s="56" t="str">
        <x:f>IF(AND(AO$5&gt;='任务与甘特'!$T7,AO$5&lt;='任务与甘特'!$U7),"■","")</x:f>
      </x:c>
      <x:c r="AP6" s="56" t="str">
        <x:f>IF(AND(AP$5&gt;='任务与甘特'!$T7,AP$5&lt;='任务与甘特'!$U7),"■","")</x:f>
      </x:c>
    </x:row>
    <x:row r="7" ht="38" customHeight="1">
      <x:c r="A7" s="29" t="str">
        <x:f>'任务与甘特'!A8</x:f>
        <x:v>T1.2</x:v>
      </x:c>
      <x:c r="B7" s="29" t="str">
        <x:f>'任务与甘特'!B8</x:f>
        <x:v>形成WBS与项目计划初稿</x:v>
      </x:c>
      <x:c r="C7" s="56" t="str">
        <x:f>IF(AND(C$5&gt;='任务与甘特'!$T8,C$5&lt;='任务与甘特'!$U8),"■","")</x:f>
      </x:c>
      <x:c r="D7" s="56" t="str">
        <x:f>IF(AND(D$5&gt;='任务与甘特'!$T8,D$5&lt;='任务与甘特'!$U8),"■","")</x:f>
        <x:v>■</x:v>
      </x:c>
      <x:c r="E7" s="56" t="str">
        <x:f>IF(AND(E$5&gt;='任务与甘特'!$T8,E$5&lt;='任务与甘特'!$U8),"■","")</x:f>
        <x:v>■</x:v>
      </x:c>
      <x:c r="F7" s="56" t="str">
        <x:f>IF(AND(F$5&gt;='任务与甘特'!$T8,F$5&lt;='任务与甘特'!$U8),"■","")</x:f>
      </x:c>
      <x:c r="G7" s="56" t="str">
        <x:f>IF(AND(G$5&gt;='任务与甘特'!$T8,G$5&lt;='任务与甘特'!$U8),"■","")</x:f>
      </x:c>
      <x:c r="H7" s="56" t="str">
        <x:f>IF(AND(H$5&gt;='任务与甘特'!$T8,H$5&lt;='任务与甘特'!$U8),"■","")</x:f>
      </x:c>
      <x:c r="I7" s="56" t="str">
        <x:f>IF(AND(I$5&gt;='任务与甘特'!$T8,I$5&lt;='任务与甘特'!$U8),"■","")</x:f>
      </x:c>
      <x:c r="J7" s="56" t="str">
        <x:f>IF(AND(J$5&gt;='任务与甘特'!$T8,J$5&lt;='任务与甘特'!$U8),"■","")</x:f>
      </x:c>
      <x:c r="K7" s="56" t="str">
        <x:f>IF(AND(K$5&gt;='任务与甘特'!$T8,K$5&lt;='任务与甘特'!$U8),"■","")</x:f>
      </x:c>
      <x:c r="L7" s="56" t="str">
        <x:f>IF(AND(L$5&gt;='任务与甘特'!$T8,L$5&lt;='任务与甘特'!$U8),"■","")</x:f>
      </x:c>
      <x:c r="M7" s="56" t="str">
        <x:f>IF(AND(M$5&gt;='任务与甘特'!$T8,M$5&lt;='任务与甘特'!$U8),"■","")</x:f>
      </x:c>
      <x:c r="N7" s="56" t="str">
        <x:f>IF(AND(N$5&gt;='任务与甘特'!$T8,N$5&lt;='任务与甘特'!$U8),"■","")</x:f>
      </x:c>
      <x:c r="O7" s="56" t="str">
        <x:f>IF(AND(O$5&gt;='任务与甘特'!$T8,O$5&lt;='任务与甘特'!$U8),"■","")</x:f>
      </x:c>
      <x:c r="P7" s="56" t="str">
        <x:f>IF(AND(P$5&gt;='任务与甘特'!$T8,P$5&lt;='任务与甘特'!$U8),"■","")</x:f>
      </x:c>
      <x:c r="Q7" s="56" t="str">
        <x:f>IF(AND(Q$5&gt;='任务与甘特'!$T8,Q$5&lt;='任务与甘特'!$U8),"■","")</x:f>
      </x:c>
      <x:c r="R7" s="56" t="str">
        <x:f>IF(AND(R$5&gt;='任务与甘特'!$T8,R$5&lt;='任务与甘特'!$U8),"■","")</x:f>
      </x:c>
      <x:c r="S7" s="56" t="str">
        <x:f>IF(AND(S$5&gt;='任务与甘特'!$T8,S$5&lt;='任务与甘特'!$U8),"■","")</x:f>
      </x:c>
      <x:c r="T7" s="56" t="str">
        <x:f>IF(AND(T$5&gt;='任务与甘特'!$T8,T$5&lt;='任务与甘特'!$U8),"■","")</x:f>
      </x:c>
      <x:c r="U7" s="56" t="str">
        <x:f>IF(AND(U$5&gt;='任务与甘特'!$T8,U$5&lt;='任务与甘特'!$U8),"■","")</x:f>
      </x:c>
      <x:c r="V7" s="56" t="str">
        <x:f>IF(AND(V$5&gt;='任务与甘特'!$T8,V$5&lt;='任务与甘特'!$U8),"■","")</x:f>
      </x:c>
      <x:c r="W7" s="56" t="str">
        <x:f>IF(AND(W$5&gt;='任务与甘特'!$T8,W$5&lt;='任务与甘特'!$U8),"■","")</x:f>
      </x:c>
      <x:c r="X7" s="56" t="str">
        <x:f>IF(AND(X$5&gt;='任务与甘特'!$T8,X$5&lt;='任务与甘特'!$U8),"■","")</x:f>
      </x:c>
      <x:c r="Y7" s="56" t="str">
        <x:f>IF(AND(Y$5&gt;='任务与甘特'!$T8,Y$5&lt;='任务与甘特'!$U8),"■","")</x:f>
      </x:c>
      <x:c r="Z7" s="56" t="str">
        <x:f>IF(AND(Z$5&gt;='任务与甘特'!$T8,Z$5&lt;='任务与甘特'!$U8),"■","")</x:f>
      </x:c>
      <x:c r="AA7" s="56" t="str">
        <x:f>IF(AND(AA$5&gt;='任务与甘特'!$T8,AA$5&lt;='任务与甘特'!$U8),"■","")</x:f>
      </x:c>
      <x:c r="AB7" s="56" t="str">
        <x:f>IF(AND(AB$5&gt;='任务与甘特'!$T8,AB$5&lt;='任务与甘特'!$U8),"■","")</x:f>
      </x:c>
      <x:c r="AC7" s="56" t="str">
        <x:f>IF(AND(AC$5&gt;='任务与甘特'!$T8,AC$5&lt;='任务与甘特'!$U8),"■","")</x:f>
      </x:c>
      <x:c r="AD7" s="56" t="str">
        <x:f>IF(AND(AD$5&gt;='任务与甘特'!$T8,AD$5&lt;='任务与甘特'!$U8),"■","")</x:f>
      </x:c>
      <x:c r="AE7" s="56" t="str">
        <x:f>IF(AND(AE$5&gt;='任务与甘特'!$T8,AE$5&lt;='任务与甘特'!$U8),"■","")</x:f>
      </x:c>
      <x:c r="AF7" s="56" t="str">
        <x:f>IF(AND(AF$5&gt;='任务与甘特'!$T8,AF$5&lt;='任务与甘特'!$U8),"■","")</x:f>
      </x:c>
      <x:c r="AG7" s="56" t="str">
        <x:f>IF(AND(AG$5&gt;='任务与甘特'!$T8,AG$5&lt;='任务与甘特'!$U8),"■","")</x:f>
      </x:c>
      <x:c r="AH7" s="56" t="str">
        <x:f>IF(AND(AH$5&gt;='任务与甘特'!$T8,AH$5&lt;='任务与甘特'!$U8),"■","")</x:f>
      </x:c>
      <x:c r="AI7" s="56" t="str">
        <x:f>IF(AND(AI$5&gt;='任务与甘特'!$T8,AI$5&lt;='任务与甘特'!$U8),"■","")</x:f>
      </x:c>
      <x:c r="AJ7" s="56" t="str">
        <x:f>IF(AND(AJ$5&gt;='任务与甘特'!$T8,AJ$5&lt;='任务与甘特'!$U8),"■","")</x:f>
      </x:c>
      <x:c r="AK7" s="56" t="str">
        <x:f>IF(AND(AK$5&gt;='任务与甘特'!$T8,AK$5&lt;='任务与甘特'!$U8),"■","")</x:f>
      </x:c>
      <x:c r="AL7" s="56" t="str">
        <x:f>IF(AND(AL$5&gt;='任务与甘特'!$T8,AL$5&lt;='任务与甘特'!$U8),"■","")</x:f>
      </x:c>
      <x:c r="AM7" s="56" t="str">
        <x:f>IF(AND(AM$5&gt;='任务与甘特'!$T8,AM$5&lt;='任务与甘特'!$U8),"■","")</x:f>
      </x:c>
      <x:c r="AN7" s="56" t="str">
        <x:f>IF(AND(AN$5&gt;='任务与甘特'!$T8,AN$5&lt;='任务与甘特'!$U8),"■","")</x:f>
      </x:c>
      <x:c r="AO7" s="56" t="str">
        <x:f>IF(AND(AO$5&gt;='任务与甘特'!$T8,AO$5&lt;='任务与甘特'!$U8),"■","")</x:f>
      </x:c>
      <x:c r="AP7" s="56" t="str">
        <x:f>IF(AND(AP$5&gt;='任务与甘特'!$T8,AP$5&lt;='任务与甘特'!$U8),"■","")</x:f>
      </x:c>
    </x:row>
    <x:row r="8" ht="38" customHeight="1">
      <x:c r="A8" s="29" t="str">
        <x:f>'任务与甘特'!A9</x:f>
        <x:v>T1.3</x:v>
      </x:c>
      <x:c r="B8" s="29" t="str">
        <x:f>'任务与甘特'!B9</x:f>
        <x:v>编写测试大纲与合成数据方案</x:v>
      </x:c>
      <x:c r="C8" s="56" t="str">
        <x:f>IF(AND(C$5&gt;='任务与甘特'!$T9,C$5&lt;='任务与甘特'!$U9),"■","")</x:f>
      </x:c>
      <x:c r="D8" s="56" t="str">
        <x:f>IF(AND(D$5&gt;='任务与甘特'!$T9,D$5&lt;='任务与甘特'!$U9),"■","")</x:f>
        <x:v>■</x:v>
      </x:c>
      <x:c r="E8" s="56" t="str">
        <x:f>IF(AND(E$5&gt;='任务与甘特'!$T9,E$5&lt;='任务与甘特'!$U9),"■","")</x:f>
        <x:v>■</x:v>
      </x:c>
      <x:c r="F8" s="56" t="str">
        <x:f>IF(AND(F$5&gt;='任务与甘特'!$T9,F$5&lt;='任务与甘特'!$U9),"■","")</x:f>
        <x:v>■</x:v>
      </x:c>
      <x:c r="G8" s="56" t="str">
        <x:f>IF(AND(G$5&gt;='任务与甘特'!$T9,G$5&lt;='任务与甘特'!$U9),"■","")</x:f>
      </x:c>
      <x:c r="H8" s="56" t="str">
        <x:f>IF(AND(H$5&gt;='任务与甘特'!$T9,H$5&lt;='任务与甘特'!$U9),"■","")</x:f>
      </x:c>
      <x:c r="I8" s="56" t="str">
        <x:f>IF(AND(I$5&gt;='任务与甘特'!$T9,I$5&lt;='任务与甘特'!$U9),"■","")</x:f>
      </x:c>
      <x:c r="J8" s="56" t="str">
        <x:f>IF(AND(J$5&gt;='任务与甘特'!$T9,J$5&lt;='任务与甘特'!$U9),"■","")</x:f>
      </x:c>
      <x:c r="K8" s="56" t="str">
        <x:f>IF(AND(K$5&gt;='任务与甘特'!$T9,K$5&lt;='任务与甘特'!$U9),"■","")</x:f>
      </x:c>
      <x:c r="L8" s="56" t="str">
        <x:f>IF(AND(L$5&gt;='任务与甘特'!$T9,L$5&lt;='任务与甘特'!$U9),"■","")</x:f>
      </x:c>
      <x:c r="M8" s="56" t="str">
        <x:f>IF(AND(M$5&gt;='任务与甘特'!$T9,M$5&lt;='任务与甘特'!$U9),"■","")</x:f>
      </x:c>
      <x:c r="N8" s="56" t="str">
        <x:f>IF(AND(N$5&gt;='任务与甘特'!$T9,N$5&lt;='任务与甘特'!$U9),"■","")</x:f>
      </x:c>
      <x:c r="O8" s="56" t="str">
        <x:f>IF(AND(O$5&gt;='任务与甘特'!$T9,O$5&lt;='任务与甘特'!$U9),"■","")</x:f>
      </x:c>
      <x:c r="P8" s="56" t="str">
        <x:f>IF(AND(P$5&gt;='任务与甘特'!$T9,P$5&lt;='任务与甘特'!$U9),"■","")</x:f>
      </x:c>
      <x:c r="Q8" s="56" t="str">
        <x:f>IF(AND(Q$5&gt;='任务与甘特'!$T9,Q$5&lt;='任务与甘特'!$U9),"■","")</x:f>
      </x:c>
      <x:c r="R8" s="56" t="str">
        <x:f>IF(AND(R$5&gt;='任务与甘特'!$T9,R$5&lt;='任务与甘特'!$U9),"■","")</x:f>
      </x:c>
      <x:c r="S8" s="56" t="str">
        <x:f>IF(AND(S$5&gt;='任务与甘特'!$T9,S$5&lt;='任务与甘特'!$U9),"■","")</x:f>
      </x:c>
      <x:c r="T8" s="56" t="str">
        <x:f>IF(AND(T$5&gt;='任务与甘特'!$T9,T$5&lt;='任务与甘特'!$U9),"■","")</x:f>
      </x:c>
      <x:c r="U8" s="56" t="str">
        <x:f>IF(AND(U$5&gt;='任务与甘特'!$T9,U$5&lt;='任务与甘特'!$U9),"■","")</x:f>
      </x:c>
      <x:c r="V8" s="56" t="str">
        <x:f>IF(AND(V$5&gt;='任务与甘特'!$T9,V$5&lt;='任务与甘特'!$U9),"■","")</x:f>
      </x:c>
      <x:c r="W8" s="56" t="str">
        <x:f>IF(AND(W$5&gt;='任务与甘特'!$T9,W$5&lt;='任务与甘特'!$U9),"■","")</x:f>
      </x:c>
      <x:c r="X8" s="56" t="str">
        <x:f>IF(AND(X$5&gt;='任务与甘特'!$T9,X$5&lt;='任务与甘特'!$U9),"■","")</x:f>
      </x:c>
      <x:c r="Y8" s="56" t="str">
        <x:f>IF(AND(Y$5&gt;='任务与甘特'!$T9,Y$5&lt;='任务与甘特'!$U9),"■","")</x:f>
      </x:c>
      <x:c r="Z8" s="56" t="str">
        <x:f>IF(AND(Z$5&gt;='任务与甘特'!$T9,Z$5&lt;='任务与甘特'!$U9),"■","")</x:f>
      </x:c>
      <x:c r="AA8" s="56" t="str">
        <x:f>IF(AND(AA$5&gt;='任务与甘特'!$T9,AA$5&lt;='任务与甘特'!$U9),"■","")</x:f>
      </x:c>
      <x:c r="AB8" s="56" t="str">
        <x:f>IF(AND(AB$5&gt;='任务与甘特'!$T9,AB$5&lt;='任务与甘特'!$U9),"■","")</x:f>
      </x:c>
      <x:c r="AC8" s="56" t="str">
        <x:f>IF(AND(AC$5&gt;='任务与甘特'!$T9,AC$5&lt;='任务与甘特'!$U9),"■","")</x:f>
      </x:c>
      <x:c r="AD8" s="56" t="str">
        <x:f>IF(AND(AD$5&gt;='任务与甘特'!$T9,AD$5&lt;='任务与甘特'!$U9),"■","")</x:f>
      </x:c>
      <x:c r="AE8" s="56" t="str">
        <x:f>IF(AND(AE$5&gt;='任务与甘特'!$T9,AE$5&lt;='任务与甘特'!$U9),"■","")</x:f>
      </x:c>
      <x:c r="AF8" s="56" t="str">
        <x:f>IF(AND(AF$5&gt;='任务与甘特'!$T9,AF$5&lt;='任务与甘特'!$U9),"■","")</x:f>
      </x:c>
      <x:c r="AG8" s="56" t="str">
        <x:f>IF(AND(AG$5&gt;='任务与甘特'!$T9,AG$5&lt;='任务与甘特'!$U9),"■","")</x:f>
      </x:c>
      <x:c r="AH8" s="56" t="str">
        <x:f>IF(AND(AH$5&gt;='任务与甘特'!$T9,AH$5&lt;='任务与甘特'!$U9),"■","")</x:f>
      </x:c>
      <x:c r="AI8" s="56" t="str">
        <x:f>IF(AND(AI$5&gt;='任务与甘特'!$T9,AI$5&lt;='任务与甘特'!$U9),"■","")</x:f>
      </x:c>
      <x:c r="AJ8" s="56" t="str">
        <x:f>IF(AND(AJ$5&gt;='任务与甘特'!$T9,AJ$5&lt;='任务与甘特'!$U9),"■","")</x:f>
      </x:c>
      <x:c r="AK8" s="56" t="str">
        <x:f>IF(AND(AK$5&gt;='任务与甘特'!$T9,AK$5&lt;='任务与甘特'!$U9),"■","")</x:f>
      </x:c>
      <x:c r="AL8" s="56" t="str">
        <x:f>IF(AND(AL$5&gt;='任务与甘特'!$T9,AL$5&lt;='任务与甘特'!$U9),"■","")</x:f>
      </x:c>
      <x:c r="AM8" s="56" t="str">
        <x:f>IF(AND(AM$5&gt;='任务与甘特'!$T9,AM$5&lt;='任务与甘特'!$U9),"■","")</x:f>
      </x:c>
      <x:c r="AN8" s="56" t="str">
        <x:f>IF(AND(AN$5&gt;='任务与甘特'!$T9,AN$5&lt;='任务与甘特'!$U9),"■","")</x:f>
      </x:c>
      <x:c r="AO8" s="56" t="str">
        <x:f>IF(AND(AO$5&gt;='任务与甘特'!$T9,AO$5&lt;='任务与甘特'!$U9),"■","")</x:f>
      </x:c>
      <x:c r="AP8" s="56" t="str">
        <x:f>IF(AND(AP$5&gt;='任务与甘特'!$T9,AP$5&lt;='任务与甘特'!$U9),"■","")</x:f>
      </x:c>
    </x:row>
    <x:row r="9" ht="38" customHeight="1">
      <x:c r="A9" s="29" t="str">
        <x:f>'任务与甘特'!A10</x:f>
        <x:v>T2.1</x:v>
      </x:c>
      <x:c r="B9" s="29" t="str">
        <x:f>'任务与甘特'!B10</x:f>
        <x:v>总体架构与模块设计</x:v>
      </x:c>
      <x:c r="C9" s="56" t="str">
        <x:f>IF(AND(C$5&gt;='任务与甘特'!$T10,C$5&lt;='任务与甘特'!$U10),"■","")</x:f>
      </x:c>
      <x:c r="D9" s="56" t="str">
        <x:f>IF(AND(D$5&gt;='任务与甘特'!$T10,D$5&lt;='任务与甘特'!$U10),"■","")</x:f>
        <x:v>■</x:v>
      </x:c>
      <x:c r="E9" s="56" t="str">
        <x:f>IF(AND(E$5&gt;='任务与甘特'!$T10,E$5&lt;='任务与甘特'!$U10),"■","")</x:f>
        <x:v>■</x:v>
      </x:c>
      <x:c r="F9" s="56" t="str">
        <x:f>IF(AND(F$5&gt;='任务与甘特'!$T10,F$5&lt;='任务与甘特'!$U10),"■","")</x:f>
      </x:c>
      <x:c r="G9" s="56" t="str">
        <x:f>IF(AND(G$5&gt;='任务与甘特'!$T10,G$5&lt;='任务与甘特'!$U10),"■","")</x:f>
      </x:c>
      <x:c r="H9" s="56" t="str">
        <x:f>IF(AND(H$5&gt;='任务与甘特'!$T10,H$5&lt;='任务与甘特'!$U10),"■","")</x:f>
      </x:c>
      <x:c r="I9" s="56" t="str">
        <x:f>IF(AND(I$5&gt;='任务与甘特'!$T10,I$5&lt;='任务与甘特'!$U10),"■","")</x:f>
      </x:c>
      <x:c r="J9" s="56" t="str">
        <x:f>IF(AND(J$5&gt;='任务与甘特'!$T10,J$5&lt;='任务与甘特'!$U10),"■","")</x:f>
      </x:c>
      <x:c r="K9" s="56" t="str">
        <x:f>IF(AND(K$5&gt;='任务与甘特'!$T10,K$5&lt;='任务与甘特'!$U10),"■","")</x:f>
      </x:c>
      <x:c r="L9" s="56" t="str">
        <x:f>IF(AND(L$5&gt;='任务与甘特'!$T10,L$5&lt;='任务与甘特'!$U10),"■","")</x:f>
      </x:c>
      <x:c r="M9" s="56" t="str">
        <x:f>IF(AND(M$5&gt;='任务与甘特'!$T10,M$5&lt;='任务与甘特'!$U10),"■","")</x:f>
      </x:c>
      <x:c r="N9" s="56" t="str">
        <x:f>IF(AND(N$5&gt;='任务与甘特'!$T10,N$5&lt;='任务与甘特'!$U10),"■","")</x:f>
      </x:c>
      <x:c r="O9" s="56" t="str">
        <x:f>IF(AND(O$5&gt;='任务与甘特'!$T10,O$5&lt;='任务与甘特'!$U10),"■","")</x:f>
      </x:c>
      <x:c r="P9" s="56" t="str">
        <x:f>IF(AND(P$5&gt;='任务与甘特'!$T10,P$5&lt;='任务与甘特'!$U10),"■","")</x:f>
      </x:c>
      <x:c r="Q9" s="56" t="str">
        <x:f>IF(AND(Q$5&gt;='任务与甘特'!$T10,Q$5&lt;='任务与甘特'!$U10),"■","")</x:f>
      </x:c>
      <x:c r="R9" s="56" t="str">
        <x:f>IF(AND(R$5&gt;='任务与甘特'!$T10,R$5&lt;='任务与甘特'!$U10),"■","")</x:f>
      </x:c>
      <x:c r="S9" s="56" t="str">
        <x:f>IF(AND(S$5&gt;='任务与甘特'!$T10,S$5&lt;='任务与甘特'!$U10),"■","")</x:f>
      </x:c>
      <x:c r="T9" s="56" t="str">
        <x:f>IF(AND(T$5&gt;='任务与甘特'!$T10,T$5&lt;='任务与甘特'!$U10),"■","")</x:f>
      </x:c>
      <x:c r="U9" s="56" t="str">
        <x:f>IF(AND(U$5&gt;='任务与甘特'!$T10,U$5&lt;='任务与甘特'!$U10),"■","")</x:f>
      </x:c>
      <x:c r="V9" s="56" t="str">
        <x:f>IF(AND(V$5&gt;='任务与甘特'!$T10,V$5&lt;='任务与甘特'!$U10),"■","")</x:f>
      </x:c>
      <x:c r="W9" s="56" t="str">
        <x:f>IF(AND(W$5&gt;='任务与甘特'!$T10,W$5&lt;='任务与甘特'!$U10),"■","")</x:f>
      </x:c>
      <x:c r="X9" s="56" t="str">
        <x:f>IF(AND(X$5&gt;='任务与甘特'!$T10,X$5&lt;='任务与甘特'!$U10),"■","")</x:f>
      </x:c>
      <x:c r="Y9" s="56" t="str">
        <x:f>IF(AND(Y$5&gt;='任务与甘特'!$T10,Y$5&lt;='任务与甘特'!$U10),"■","")</x:f>
      </x:c>
      <x:c r="Z9" s="56" t="str">
        <x:f>IF(AND(Z$5&gt;='任务与甘特'!$T10,Z$5&lt;='任务与甘特'!$U10),"■","")</x:f>
      </x:c>
      <x:c r="AA9" s="56" t="str">
        <x:f>IF(AND(AA$5&gt;='任务与甘特'!$T10,AA$5&lt;='任务与甘特'!$U10),"■","")</x:f>
      </x:c>
      <x:c r="AB9" s="56" t="str">
        <x:f>IF(AND(AB$5&gt;='任务与甘特'!$T10,AB$5&lt;='任务与甘特'!$U10),"■","")</x:f>
      </x:c>
      <x:c r="AC9" s="56" t="str">
        <x:f>IF(AND(AC$5&gt;='任务与甘特'!$T10,AC$5&lt;='任务与甘特'!$U10),"■","")</x:f>
      </x:c>
      <x:c r="AD9" s="56" t="str">
        <x:f>IF(AND(AD$5&gt;='任务与甘特'!$T10,AD$5&lt;='任务与甘特'!$U10),"■","")</x:f>
      </x:c>
      <x:c r="AE9" s="56" t="str">
        <x:f>IF(AND(AE$5&gt;='任务与甘特'!$T10,AE$5&lt;='任务与甘特'!$U10),"■","")</x:f>
      </x:c>
      <x:c r="AF9" s="56" t="str">
        <x:f>IF(AND(AF$5&gt;='任务与甘特'!$T10,AF$5&lt;='任务与甘特'!$U10),"■","")</x:f>
      </x:c>
      <x:c r="AG9" s="56" t="str">
        <x:f>IF(AND(AG$5&gt;='任务与甘特'!$T10,AG$5&lt;='任务与甘特'!$U10),"■","")</x:f>
      </x:c>
      <x:c r="AH9" s="56" t="str">
        <x:f>IF(AND(AH$5&gt;='任务与甘特'!$T10,AH$5&lt;='任务与甘特'!$U10),"■","")</x:f>
      </x:c>
      <x:c r="AI9" s="56" t="str">
        <x:f>IF(AND(AI$5&gt;='任务与甘特'!$T10,AI$5&lt;='任务与甘特'!$U10),"■","")</x:f>
      </x:c>
      <x:c r="AJ9" s="56" t="str">
        <x:f>IF(AND(AJ$5&gt;='任务与甘特'!$T10,AJ$5&lt;='任务与甘特'!$U10),"■","")</x:f>
      </x:c>
      <x:c r="AK9" s="56" t="str">
        <x:f>IF(AND(AK$5&gt;='任务与甘特'!$T10,AK$5&lt;='任务与甘特'!$U10),"■","")</x:f>
      </x:c>
      <x:c r="AL9" s="56" t="str">
        <x:f>IF(AND(AL$5&gt;='任务与甘特'!$T10,AL$5&lt;='任务与甘特'!$U10),"■","")</x:f>
      </x:c>
      <x:c r="AM9" s="56" t="str">
        <x:f>IF(AND(AM$5&gt;='任务与甘特'!$T10,AM$5&lt;='任务与甘特'!$U10),"■","")</x:f>
      </x:c>
      <x:c r="AN9" s="56" t="str">
        <x:f>IF(AND(AN$5&gt;='任务与甘特'!$T10,AN$5&lt;='任务与甘特'!$U10),"■","")</x:f>
      </x:c>
      <x:c r="AO9" s="56" t="str">
        <x:f>IF(AND(AO$5&gt;='任务与甘特'!$T10,AO$5&lt;='任务与甘特'!$U10),"■","")</x:f>
      </x:c>
      <x:c r="AP9" s="56" t="str">
        <x:f>IF(AND(AP$5&gt;='任务与甘特'!$T10,AP$5&lt;='任务与甘特'!$U10),"■","")</x:f>
      </x:c>
    </x:row>
    <x:row r="10" ht="38" customHeight="1">
      <x:c r="A10" s="29" t="str">
        <x:f>'任务与甘特'!A11</x:f>
        <x:v>T2.2</x:v>
      </x:c>
      <x:c r="B10" s="29" t="str">
        <x:f>'任务与甘特'!B11</x:f>
        <x:v>数据模型、版本与事务设计</x:v>
      </x:c>
      <x:c r="C10" s="56" t="str">
        <x:f>IF(AND(C$5&gt;='任务与甘特'!$T11,C$5&lt;='任务与甘特'!$U11),"■","")</x:f>
      </x:c>
      <x:c r="D10" s="56" t="str">
        <x:f>IF(AND(D$5&gt;='任务与甘特'!$T11,D$5&lt;='任务与甘特'!$U11),"■","")</x:f>
      </x:c>
      <x:c r="E10" s="56" t="str">
        <x:f>IF(AND(E$5&gt;='任务与甘特'!$T11,E$5&lt;='任务与甘特'!$U11),"■","")</x:f>
      </x:c>
      <x:c r="F10" s="56" t="str">
        <x:f>IF(AND(F$5&gt;='任务与甘特'!$T11,F$5&lt;='任务与甘特'!$U11),"■","")</x:f>
        <x:v>■</x:v>
      </x:c>
      <x:c r="G10" s="56" t="str">
        <x:f>IF(AND(G$5&gt;='任务与甘特'!$T11,G$5&lt;='任务与甘特'!$U11),"■","")</x:f>
        <x:v>■</x:v>
      </x:c>
      <x:c r="H10" s="56" t="str">
        <x:f>IF(AND(H$5&gt;='任务与甘特'!$T11,H$5&lt;='任务与甘特'!$U11),"■","")</x:f>
      </x:c>
      <x:c r="I10" s="56" t="str">
        <x:f>IF(AND(I$5&gt;='任务与甘特'!$T11,I$5&lt;='任务与甘特'!$U11),"■","")</x:f>
      </x:c>
      <x:c r="J10" s="56" t="str">
        <x:f>IF(AND(J$5&gt;='任务与甘特'!$T11,J$5&lt;='任务与甘特'!$U11),"■","")</x:f>
      </x:c>
      <x:c r="K10" s="56" t="str">
        <x:f>IF(AND(K$5&gt;='任务与甘特'!$T11,K$5&lt;='任务与甘特'!$U11),"■","")</x:f>
      </x:c>
      <x:c r="L10" s="56" t="str">
        <x:f>IF(AND(L$5&gt;='任务与甘特'!$T11,L$5&lt;='任务与甘特'!$U11),"■","")</x:f>
      </x:c>
      <x:c r="M10" s="56" t="str">
        <x:f>IF(AND(M$5&gt;='任务与甘特'!$T11,M$5&lt;='任务与甘特'!$U11),"■","")</x:f>
      </x:c>
      <x:c r="N10" s="56" t="str">
        <x:f>IF(AND(N$5&gt;='任务与甘特'!$T11,N$5&lt;='任务与甘特'!$U11),"■","")</x:f>
      </x:c>
      <x:c r="O10" s="56" t="str">
        <x:f>IF(AND(O$5&gt;='任务与甘特'!$T11,O$5&lt;='任务与甘特'!$U11),"■","")</x:f>
      </x:c>
      <x:c r="P10" s="56" t="str">
        <x:f>IF(AND(P$5&gt;='任务与甘特'!$T11,P$5&lt;='任务与甘特'!$U11),"■","")</x:f>
      </x:c>
      <x:c r="Q10" s="56" t="str">
        <x:f>IF(AND(Q$5&gt;='任务与甘特'!$T11,Q$5&lt;='任务与甘特'!$U11),"■","")</x:f>
      </x:c>
      <x:c r="R10" s="56" t="str">
        <x:f>IF(AND(R$5&gt;='任务与甘特'!$T11,R$5&lt;='任务与甘特'!$U11),"■","")</x:f>
      </x:c>
      <x:c r="S10" s="56" t="str">
        <x:f>IF(AND(S$5&gt;='任务与甘特'!$T11,S$5&lt;='任务与甘特'!$U11),"■","")</x:f>
      </x:c>
      <x:c r="T10" s="56" t="str">
        <x:f>IF(AND(T$5&gt;='任务与甘特'!$T11,T$5&lt;='任务与甘特'!$U11),"■","")</x:f>
      </x:c>
      <x:c r="U10" s="56" t="str">
        <x:f>IF(AND(U$5&gt;='任务与甘特'!$T11,U$5&lt;='任务与甘特'!$U11),"■","")</x:f>
      </x:c>
      <x:c r="V10" s="56" t="str">
        <x:f>IF(AND(V$5&gt;='任务与甘特'!$T11,V$5&lt;='任务与甘特'!$U11),"■","")</x:f>
      </x:c>
      <x:c r="W10" s="56" t="str">
        <x:f>IF(AND(W$5&gt;='任务与甘特'!$T11,W$5&lt;='任务与甘特'!$U11),"■","")</x:f>
      </x:c>
      <x:c r="X10" s="56" t="str">
        <x:f>IF(AND(X$5&gt;='任务与甘特'!$T11,X$5&lt;='任务与甘特'!$U11),"■","")</x:f>
      </x:c>
      <x:c r="Y10" s="56" t="str">
        <x:f>IF(AND(Y$5&gt;='任务与甘特'!$T11,Y$5&lt;='任务与甘特'!$U11),"■","")</x:f>
      </x:c>
      <x:c r="Z10" s="56" t="str">
        <x:f>IF(AND(Z$5&gt;='任务与甘特'!$T11,Z$5&lt;='任务与甘特'!$U11),"■","")</x:f>
      </x:c>
      <x:c r="AA10" s="56" t="str">
        <x:f>IF(AND(AA$5&gt;='任务与甘特'!$T11,AA$5&lt;='任务与甘特'!$U11),"■","")</x:f>
      </x:c>
      <x:c r="AB10" s="56" t="str">
        <x:f>IF(AND(AB$5&gt;='任务与甘特'!$T11,AB$5&lt;='任务与甘特'!$U11),"■","")</x:f>
      </x:c>
      <x:c r="AC10" s="56" t="str">
        <x:f>IF(AND(AC$5&gt;='任务与甘特'!$T11,AC$5&lt;='任务与甘特'!$U11),"■","")</x:f>
      </x:c>
      <x:c r="AD10" s="56" t="str">
        <x:f>IF(AND(AD$5&gt;='任务与甘特'!$T11,AD$5&lt;='任务与甘特'!$U11),"■","")</x:f>
      </x:c>
      <x:c r="AE10" s="56" t="str">
        <x:f>IF(AND(AE$5&gt;='任务与甘特'!$T11,AE$5&lt;='任务与甘特'!$U11),"■","")</x:f>
      </x:c>
      <x:c r="AF10" s="56" t="str">
        <x:f>IF(AND(AF$5&gt;='任务与甘特'!$T11,AF$5&lt;='任务与甘特'!$U11),"■","")</x:f>
      </x:c>
      <x:c r="AG10" s="56" t="str">
        <x:f>IF(AND(AG$5&gt;='任务与甘特'!$T11,AG$5&lt;='任务与甘特'!$U11),"■","")</x:f>
      </x:c>
      <x:c r="AH10" s="56" t="str">
        <x:f>IF(AND(AH$5&gt;='任务与甘特'!$T11,AH$5&lt;='任务与甘特'!$U11),"■","")</x:f>
      </x:c>
      <x:c r="AI10" s="56" t="str">
        <x:f>IF(AND(AI$5&gt;='任务与甘特'!$T11,AI$5&lt;='任务与甘特'!$U11),"■","")</x:f>
      </x:c>
      <x:c r="AJ10" s="56" t="str">
        <x:f>IF(AND(AJ$5&gt;='任务与甘特'!$T11,AJ$5&lt;='任务与甘特'!$U11),"■","")</x:f>
      </x:c>
      <x:c r="AK10" s="56" t="str">
        <x:f>IF(AND(AK$5&gt;='任务与甘特'!$T11,AK$5&lt;='任务与甘特'!$U11),"■","")</x:f>
      </x:c>
      <x:c r="AL10" s="56" t="str">
        <x:f>IF(AND(AL$5&gt;='任务与甘特'!$T11,AL$5&lt;='任务与甘特'!$U11),"■","")</x:f>
      </x:c>
      <x:c r="AM10" s="56" t="str">
        <x:f>IF(AND(AM$5&gt;='任务与甘特'!$T11,AM$5&lt;='任务与甘特'!$U11),"■","")</x:f>
      </x:c>
      <x:c r="AN10" s="56" t="str">
        <x:f>IF(AND(AN$5&gt;='任务与甘特'!$T11,AN$5&lt;='任务与甘特'!$U11),"■","")</x:f>
      </x:c>
      <x:c r="AO10" s="56" t="str">
        <x:f>IF(AND(AO$5&gt;='任务与甘特'!$T11,AO$5&lt;='任务与甘特'!$U11),"■","")</x:f>
      </x:c>
      <x:c r="AP10" s="56" t="str">
        <x:f>IF(AND(AP$5&gt;='任务与甘特'!$T11,AP$5&lt;='任务与甘特'!$U11),"■","")</x:f>
      </x:c>
    </x:row>
    <x:row r="11" ht="38" customHeight="1">
      <x:c r="A11" s="29" t="str">
        <x:f>'任务与甘特'!A12</x:f>
        <x:v>T2.3</x:v>
      </x:c>
      <x:c r="B11" s="29" t="str">
        <x:f>'任务与甘特'!B12</x:f>
        <x:v>内部接口与导出契约设计</x:v>
      </x:c>
      <x:c r="C11" s="56" t="str">
        <x:f>IF(AND(C$5&gt;='任务与甘特'!$T12,C$5&lt;='任务与甘特'!$U12),"■","")</x:f>
      </x:c>
      <x:c r="D11" s="56" t="str">
        <x:f>IF(AND(D$5&gt;='任务与甘特'!$T12,D$5&lt;='任务与甘特'!$U12),"■","")</x:f>
      </x:c>
      <x:c r="E11" s="56" t="str">
        <x:f>IF(AND(E$5&gt;='任务与甘特'!$T12,E$5&lt;='任务与甘特'!$U12),"■","")</x:f>
      </x:c>
      <x:c r="F11" s="56" t="str">
        <x:f>IF(AND(F$5&gt;='任务与甘特'!$T12,F$5&lt;='任务与甘特'!$U12),"■","")</x:f>
        <x:v>■</x:v>
      </x:c>
      <x:c r="G11" s="56" t="str">
        <x:f>IF(AND(G$5&gt;='任务与甘特'!$T12,G$5&lt;='任务与甘特'!$U12),"■","")</x:f>
        <x:v>■</x:v>
      </x:c>
      <x:c r="H11" s="56" t="str">
        <x:f>IF(AND(H$5&gt;='任务与甘特'!$T12,H$5&lt;='任务与甘特'!$U12),"■","")</x:f>
      </x:c>
      <x:c r="I11" s="56" t="str">
        <x:f>IF(AND(I$5&gt;='任务与甘特'!$T12,I$5&lt;='任务与甘特'!$U12),"■","")</x:f>
      </x:c>
      <x:c r="J11" s="56" t="str">
        <x:f>IF(AND(J$5&gt;='任务与甘特'!$T12,J$5&lt;='任务与甘特'!$U12),"■","")</x:f>
      </x:c>
      <x:c r="K11" s="56" t="str">
        <x:f>IF(AND(K$5&gt;='任务与甘特'!$T12,K$5&lt;='任务与甘特'!$U12),"■","")</x:f>
      </x:c>
      <x:c r="L11" s="56" t="str">
        <x:f>IF(AND(L$5&gt;='任务与甘特'!$T12,L$5&lt;='任务与甘特'!$U12),"■","")</x:f>
      </x:c>
      <x:c r="M11" s="56" t="str">
        <x:f>IF(AND(M$5&gt;='任务与甘特'!$T12,M$5&lt;='任务与甘特'!$U12),"■","")</x:f>
      </x:c>
      <x:c r="N11" s="56" t="str">
        <x:f>IF(AND(N$5&gt;='任务与甘特'!$T12,N$5&lt;='任务与甘特'!$U12),"■","")</x:f>
      </x:c>
      <x:c r="O11" s="56" t="str">
        <x:f>IF(AND(O$5&gt;='任务与甘特'!$T12,O$5&lt;='任务与甘特'!$U12),"■","")</x:f>
      </x:c>
      <x:c r="P11" s="56" t="str">
        <x:f>IF(AND(P$5&gt;='任务与甘特'!$T12,P$5&lt;='任务与甘特'!$U12),"■","")</x:f>
      </x:c>
      <x:c r="Q11" s="56" t="str">
        <x:f>IF(AND(Q$5&gt;='任务与甘特'!$T12,Q$5&lt;='任务与甘特'!$U12),"■","")</x:f>
      </x:c>
      <x:c r="R11" s="56" t="str">
        <x:f>IF(AND(R$5&gt;='任务与甘特'!$T12,R$5&lt;='任务与甘特'!$U12),"■","")</x:f>
      </x:c>
      <x:c r="S11" s="56" t="str">
        <x:f>IF(AND(S$5&gt;='任务与甘特'!$T12,S$5&lt;='任务与甘特'!$U12),"■","")</x:f>
      </x:c>
      <x:c r="T11" s="56" t="str">
        <x:f>IF(AND(T$5&gt;='任务与甘特'!$T12,T$5&lt;='任务与甘特'!$U12),"■","")</x:f>
      </x:c>
      <x:c r="U11" s="56" t="str">
        <x:f>IF(AND(U$5&gt;='任务与甘特'!$T12,U$5&lt;='任务与甘特'!$U12),"■","")</x:f>
      </x:c>
      <x:c r="V11" s="56" t="str">
        <x:f>IF(AND(V$5&gt;='任务与甘特'!$T12,V$5&lt;='任务与甘特'!$U12),"■","")</x:f>
      </x:c>
      <x:c r="W11" s="56" t="str">
        <x:f>IF(AND(W$5&gt;='任务与甘特'!$T12,W$5&lt;='任务与甘特'!$U12),"■","")</x:f>
      </x:c>
      <x:c r="X11" s="56" t="str">
        <x:f>IF(AND(X$5&gt;='任务与甘特'!$T12,X$5&lt;='任务与甘特'!$U12),"■","")</x:f>
      </x:c>
      <x:c r="Y11" s="56" t="str">
        <x:f>IF(AND(Y$5&gt;='任务与甘特'!$T12,Y$5&lt;='任务与甘特'!$U12),"■","")</x:f>
      </x:c>
      <x:c r="Z11" s="56" t="str">
        <x:f>IF(AND(Z$5&gt;='任务与甘特'!$T12,Z$5&lt;='任务与甘特'!$U12),"■","")</x:f>
      </x:c>
      <x:c r="AA11" s="56" t="str">
        <x:f>IF(AND(AA$5&gt;='任务与甘特'!$T12,AA$5&lt;='任务与甘特'!$U12),"■","")</x:f>
      </x:c>
      <x:c r="AB11" s="56" t="str">
        <x:f>IF(AND(AB$5&gt;='任务与甘特'!$T12,AB$5&lt;='任务与甘特'!$U12),"■","")</x:f>
      </x:c>
      <x:c r="AC11" s="56" t="str">
        <x:f>IF(AND(AC$5&gt;='任务与甘特'!$T12,AC$5&lt;='任务与甘特'!$U12),"■","")</x:f>
      </x:c>
      <x:c r="AD11" s="56" t="str">
        <x:f>IF(AND(AD$5&gt;='任务与甘特'!$T12,AD$5&lt;='任务与甘特'!$U12),"■","")</x:f>
      </x:c>
      <x:c r="AE11" s="56" t="str">
        <x:f>IF(AND(AE$5&gt;='任务与甘特'!$T12,AE$5&lt;='任务与甘特'!$U12),"■","")</x:f>
      </x:c>
      <x:c r="AF11" s="56" t="str">
        <x:f>IF(AND(AF$5&gt;='任务与甘特'!$T12,AF$5&lt;='任务与甘特'!$U12),"■","")</x:f>
      </x:c>
      <x:c r="AG11" s="56" t="str">
        <x:f>IF(AND(AG$5&gt;='任务与甘特'!$T12,AG$5&lt;='任务与甘特'!$U12),"■","")</x:f>
      </x:c>
      <x:c r="AH11" s="56" t="str">
        <x:f>IF(AND(AH$5&gt;='任务与甘特'!$T12,AH$5&lt;='任务与甘特'!$U12),"■","")</x:f>
      </x:c>
      <x:c r="AI11" s="56" t="str">
        <x:f>IF(AND(AI$5&gt;='任务与甘特'!$T12,AI$5&lt;='任务与甘特'!$U12),"■","")</x:f>
      </x:c>
      <x:c r="AJ11" s="56" t="str">
        <x:f>IF(AND(AJ$5&gt;='任务与甘特'!$T12,AJ$5&lt;='任务与甘特'!$U12),"■","")</x:f>
      </x:c>
      <x:c r="AK11" s="56" t="str">
        <x:f>IF(AND(AK$5&gt;='任务与甘特'!$T12,AK$5&lt;='任务与甘特'!$U12),"■","")</x:f>
      </x:c>
      <x:c r="AL11" s="56" t="str">
        <x:f>IF(AND(AL$5&gt;='任务与甘特'!$T12,AL$5&lt;='任务与甘特'!$U12),"■","")</x:f>
      </x:c>
      <x:c r="AM11" s="56" t="str">
        <x:f>IF(AND(AM$5&gt;='任务与甘特'!$T12,AM$5&lt;='任务与甘特'!$U12),"■","")</x:f>
      </x:c>
      <x:c r="AN11" s="56" t="str">
        <x:f>IF(AND(AN$5&gt;='任务与甘特'!$T12,AN$5&lt;='任务与甘特'!$U12),"■","")</x:f>
      </x:c>
      <x:c r="AO11" s="56" t="str">
        <x:f>IF(AND(AO$5&gt;='任务与甘特'!$T12,AO$5&lt;='任务与甘特'!$U12),"■","")</x:f>
      </x:c>
      <x:c r="AP11" s="56" t="str">
        <x:f>IF(AND(AP$5&gt;='任务与甘特'!$T12,AP$5&lt;='任务与甘特'!$U12),"■","")</x:f>
      </x:c>
    </x:row>
    <x:row r="12" ht="38" customHeight="1">
      <x:c r="A12" s="29" t="str">
        <x:f>'任务与甘特'!A13</x:f>
        <x:v>T2.4</x:v>
      </x:c>
      <x:c r="B12" s="29" t="str">
        <x:f>'任务与甘特'!B13</x:f>
        <x:v>确认国家真实交换输入</x:v>
      </x:c>
      <x:c r="C12" s="56" t="str">
        <x:f>IF(AND(C$5&gt;='任务与甘特'!$T13,C$5&lt;='任务与甘特'!$U13),"■","")</x:f>
      </x:c>
      <x:c r="D12" s="56" t="str">
        <x:f>IF(AND(D$5&gt;='任务与甘特'!$T13,D$5&lt;='任务与甘特'!$U13),"■","")</x:f>
      </x:c>
      <x:c r="E12" s="56" t="str">
        <x:f>IF(AND(E$5&gt;='任务与甘特'!$T13,E$5&lt;='任务与甘特'!$U13),"■","")</x:f>
      </x:c>
      <x:c r="F12" s="56" t="str">
        <x:f>IF(AND(F$5&gt;='任务与甘特'!$T13,F$5&lt;='任务与甘特'!$U13),"■","")</x:f>
      </x:c>
      <x:c r="G12" s="56" t="str">
        <x:f>IF(AND(G$5&gt;='任务与甘特'!$T13,G$5&lt;='任务与甘特'!$U13),"■","")</x:f>
      </x:c>
      <x:c r="H12" s="56" t="str">
        <x:f>IF(AND(H$5&gt;='任务与甘特'!$T13,H$5&lt;='任务与甘特'!$U13),"■","")</x:f>
        <x:v>■</x:v>
      </x:c>
      <x:c r="I12" s="56" t="str">
        <x:f>IF(AND(I$5&gt;='任务与甘特'!$T13,I$5&lt;='任务与甘特'!$U13),"■","")</x:f>
        <x:v>■</x:v>
      </x:c>
      <x:c r="J12" s="56" t="str">
        <x:f>IF(AND(J$5&gt;='任务与甘特'!$T13,J$5&lt;='任务与甘特'!$U13),"■","")</x:f>
        <x:v>■</x:v>
      </x:c>
      <x:c r="K12" s="56" t="str">
        <x:f>IF(AND(K$5&gt;='任务与甘特'!$T13,K$5&lt;='任务与甘特'!$U13),"■","")</x:f>
      </x:c>
      <x:c r="L12" s="56" t="str">
        <x:f>IF(AND(L$5&gt;='任务与甘特'!$T13,L$5&lt;='任务与甘特'!$U13),"■","")</x:f>
      </x:c>
      <x:c r="M12" s="56" t="str">
        <x:f>IF(AND(M$5&gt;='任务与甘特'!$T13,M$5&lt;='任务与甘特'!$U13),"■","")</x:f>
      </x:c>
      <x:c r="N12" s="56" t="str">
        <x:f>IF(AND(N$5&gt;='任务与甘特'!$T13,N$5&lt;='任务与甘特'!$U13),"■","")</x:f>
      </x:c>
      <x:c r="O12" s="56" t="str">
        <x:f>IF(AND(O$5&gt;='任务与甘特'!$T13,O$5&lt;='任务与甘特'!$U13),"■","")</x:f>
      </x:c>
      <x:c r="P12" s="56" t="str">
        <x:f>IF(AND(P$5&gt;='任务与甘特'!$T13,P$5&lt;='任务与甘特'!$U13),"■","")</x:f>
      </x:c>
      <x:c r="Q12" s="56" t="str">
        <x:f>IF(AND(Q$5&gt;='任务与甘特'!$T13,Q$5&lt;='任务与甘特'!$U13),"■","")</x:f>
      </x:c>
      <x:c r="R12" s="56" t="str">
        <x:f>IF(AND(R$5&gt;='任务与甘特'!$T13,R$5&lt;='任务与甘特'!$U13),"■","")</x:f>
      </x:c>
      <x:c r="S12" s="56" t="str">
        <x:f>IF(AND(S$5&gt;='任务与甘特'!$T13,S$5&lt;='任务与甘特'!$U13),"■","")</x:f>
      </x:c>
      <x:c r="T12" s="56" t="str">
        <x:f>IF(AND(T$5&gt;='任务与甘特'!$T13,T$5&lt;='任务与甘特'!$U13),"■","")</x:f>
      </x:c>
      <x:c r="U12" s="56" t="str">
        <x:f>IF(AND(U$5&gt;='任务与甘特'!$T13,U$5&lt;='任务与甘特'!$U13),"■","")</x:f>
      </x:c>
      <x:c r="V12" s="56" t="str">
        <x:f>IF(AND(V$5&gt;='任务与甘特'!$T13,V$5&lt;='任务与甘特'!$U13),"■","")</x:f>
      </x:c>
      <x:c r="W12" s="56" t="str">
        <x:f>IF(AND(W$5&gt;='任务与甘特'!$T13,W$5&lt;='任务与甘特'!$U13),"■","")</x:f>
      </x:c>
      <x:c r="X12" s="56" t="str">
        <x:f>IF(AND(X$5&gt;='任务与甘特'!$T13,X$5&lt;='任务与甘特'!$U13),"■","")</x:f>
      </x:c>
      <x:c r="Y12" s="56" t="str">
        <x:f>IF(AND(Y$5&gt;='任务与甘特'!$T13,Y$5&lt;='任务与甘特'!$U13),"■","")</x:f>
      </x:c>
      <x:c r="Z12" s="56" t="str">
        <x:f>IF(AND(Z$5&gt;='任务与甘特'!$T13,Z$5&lt;='任务与甘特'!$U13),"■","")</x:f>
      </x:c>
      <x:c r="AA12" s="56" t="str">
        <x:f>IF(AND(AA$5&gt;='任务与甘特'!$T13,AA$5&lt;='任务与甘特'!$U13),"■","")</x:f>
      </x:c>
      <x:c r="AB12" s="56" t="str">
        <x:f>IF(AND(AB$5&gt;='任务与甘特'!$T13,AB$5&lt;='任务与甘特'!$U13),"■","")</x:f>
      </x:c>
      <x:c r="AC12" s="56" t="str">
        <x:f>IF(AND(AC$5&gt;='任务与甘特'!$T13,AC$5&lt;='任务与甘特'!$U13),"■","")</x:f>
      </x:c>
      <x:c r="AD12" s="56" t="str">
        <x:f>IF(AND(AD$5&gt;='任务与甘特'!$T13,AD$5&lt;='任务与甘特'!$U13),"■","")</x:f>
      </x:c>
      <x:c r="AE12" s="56" t="str">
        <x:f>IF(AND(AE$5&gt;='任务与甘特'!$T13,AE$5&lt;='任务与甘特'!$U13),"■","")</x:f>
      </x:c>
      <x:c r="AF12" s="56" t="str">
        <x:f>IF(AND(AF$5&gt;='任务与甘特'!$T13,AF$5&lt;='任务与甘特'!$U13),"■","")</x:f>
      </x:c>
      <x:c r="AG12" s="56" t="str">
        <x:f>IF(AND(AG$5&gt;='任务与甘特'!$T13,AG$5&lt;='任务与甘特'!$U13),"■","")</x:f>
      </x:c>
      <x:c r="AH12" s="56" t="str">
        <x:f>IF(AND(AH$5&gt;='任务与甘特'!$T13,AH$5&lt;='任务与甘特'!$U13),"■","")</x:f>
      </x:c>
      <x:c r="AI12" s="56" t="str">
        <x:f>IF(AND(AI$5&gt;='任务与甘特'!$T13,AI$5&lt;='任务与甘特'!$U13),"■","")</x:f>
      </x:c>
      <x:c r="AJ12" s="56" t="str">
        <x:f>IF(AND(AJ$5&gt;='任务与甘特'!$T13,AJ$5&lt;='任务与甘特'!$U13),"■","")</x:f>
      </x:c>
      <x:c r="AK12" s="56" t="str">
        <x:f>IF(AND(AK$5&gt;='任务与甘特'!$T13,AK$5&lt;='任务与甘特'!$U13),"■","")</x:f>
      </x:c>
      <x:c r="AL12" s="56" t="str">
        <x:f>IF(AND(AL$5&gt;='任务与甘特'!$T13,AL$5&lt;='任务与甘特'!$U13),"■","")</x:f>
      </x:c>
      <x:c r="AM12" s="56" t="str">
        <x:f>IF(AND(AM$5&gt;='任务与甘特'!$T13,AM$5&lt;='任务与甘特'!$U13),"■","")</x:f>
      </x:c>
      <x:c r="AN12" s="56" t="str">
        <x:f>IF(AND(AN$5&gt;='任务与甘特'!$T13,AN$5&lt;='任务与甘特'!$U13),"■","")</x:f>
      </x:c>
      <x:c r="AO12" s="56" t="str">
        <x:f>IF(AND(AO$5&gt;='任务与甘特'!$T13,AO$5&lt;='任务与甘特'!$U13),"■","")</x:f>
      </x:c>
      <x:c r="AP12" s="56" t="str">
        <x:f>IF(AND(AP$5&gt;='任务与甘特'!$T13,AP$5&lt;='任务与甘特'!$U13),"■","")</x:f>
      </x:c>
    </x:row>
    <x:row r="13" ht="38" customHeight="1">
      <x:c r="A13" s="29" t="str">
        <x:f>'任务与甘特'!A14</x:f>
        <x:v>T2.5</x:v>
      </x:c>
      <x:c r="B13" s="29" t="str">
        <x:f>'任务与甘特'!B14</x:f>
        <x:v>维护计划与配置版本</x:v>
      </x:c>
      <x:c r="C13" s="56" t="str">
        <x:f>IF(AND(C$5&gt;='任务与甘特'!$T14,C$5&lt;='任务与甘特'!$U14),"■","")</x:f>
      </x:c>
      <x:c r="D13" s="56" t="str">
        <x:f>IF(AND(D$5&gt;='任务与甘特'!$T14,D$5&lt;='任务与甘特'!$U14),"■","")</x:f>
      </x:c>
      <x:c r="E13" s="56" t="str">
        <x:f>IF(AND(E$5&gt;='任务与甘特'!$T14,E$5&lt;='任务与甘特'!$U14),"■","")</x:f>
      </x:c>
      <x:c r="F13" s="56" t="str">
        <x:f>IF(AND(F$5&gt;='任务与甘特'!$T14,F$5&lt;='任务与甘特'!$U14),"■","")</x:f>
        <x:v>■</x:v>
      </x:c>
      <x:c r="G13" s="56" t="str">
        <x:f>IF(AND(G$5&gt;='任务与甘特'!$T14,G$5&lt;='任务与甘特'!$U14),"■","")</x:f>
        <x:v>■</x:v>
      </x:c>
      <x:c r="H13" s="56" t="str">
        <x:f>IF(AND(H$5&gt;='任务与甘特'!$T14,H$5&lt;='任务与甘特'!$U14),"■","")</x:f>
        <x:v>■</x:v>
      </x:c>
      <x:c r="I13" s="56" t="str">
        <x:f>IF(AND(I$5&gt;='任务与甘特'!$T14,I$5&lt;='任务与甘特'!$U14),"■","")</x:f>
        <x:v>■</x:v>
      </x:c>
      <x:c r="J13" s="56" t="str">
        <x:f>IF(AND(J$5&gt;='任务与甘特'!$T14,J$5&lt;='任务与甘特'!$U14),"■","")</x:f>
        <x:v>■</x:v>
      </x:c>
      <x:c r="K13" s="56" t="str">
        <x:f>IF(AND(K$5&gt;='任务与甘特'!$T14,K$5&lt;='任务与甘特'!$U14),"■","")</x:f>
        <x:v>■</x:v>
      </x:c>
      <x:c r="L13" s="56" t="str">
        <x:f>IF(AND(L$5&gt;='任务与甘特'!$T14,L$5&lt;='任务与甘特'!$U14),"■","")</x:f>
        <x:v>■</x:v>
      </x:c>
      <x:c r="M13" s="56" t="str">
        <x:f>IF(AND(M$5&gt;='任务与甘特'!$T14,M$5&lt;='任务与甘特'!$U14),"■","")</x:f>
        <x:v>■</x:v>
      </x:c>
      <x:c r="N13" s="56" t="str">
        <x:f>IF(AND(N$5&gt;='任务与甘特'!$T14,N$5&lt;='任务与甘特'!$U14),"■","")</x:f>
        <x:v>■</x:v>
      </x:c>
      <x:c r="O13" s="56" t="str">
        <x:f>IF(AND(O$5&gt;='任务与甘特'!$T14,O$5&lt;='任务与甘特'!$U14),"■","")</x:f>
        <x:v>■</x:v>
      </x:c>
      <x:c r="P13" s="56" t="str">
        <x:f>IF(AND(P$5&gt;='任务与甘特'!$T14,P$5&lt;='任务与甘特'!$U14),"■","")</x:f>
        <x:v>■</x:v>
      </x:c>
      <x:c r="Q13" s="56" t="str">
        <x:f>IF(AND(Q$5&gt;='任务与甘特'!$T14,Q$5&lt;='任务与甘特'!$U14),"■","")</x:f>
        <x:v>■</x:v>
      </x:c>
      <x:c r="R13" s="56" t="str">
        <x:f>IF(AND(R$5&gt;='任务与甘特'!$T14,R$5&lt;='任务与甘特'!$U14),"■","")</x:f>
        <x:v>■</x:v>
      </x:c>
      <x:c r="S13" s="56" t="str">
        <x:f>IF(AND(S$5&gt;='任务与甘特'!$T14,S$5&lt;='任务与甘特'!$U14),"■","")</x:f>
        <x:v>■</x:v>
      </x:c>
      <x:c r="T13" s="56" t="str">
        <x:f>IF(AND(T$5&gt;='任务与甘特'!$T14,T$5&lt;='任务与甘特'!$U14),"■","")</x:f>
        <x:v>■</x:v>
      </x:c>
      <x:c r="U13" s="56" t="str">
        <x:f>IF(AND(U$5&gt;='任务与甘特'!$T14,U$5&lt;='任务与甘特'!$U14),"■","")</x:f>
        <x:v>■</x:v>
      </x:c>
      <x:c r="V13" s="56" t="str">
        <x:f>IF(AND(V$5&gt;='任务与甘特'!$T14,V$5&lt;='任务与甘特'!$U14),"■","")</x:f>
        <x:v>■</x:v>
      </x:c>
      <x:c r="W13" s="56" t="str">
        <x:f>IF(AND(W$5&gt;='任务与甘特'!$T14,W$5&lt;='任务与甘特'!$U14),"■","")</x:f>
        <x:v>■</x:v>
      </x:c>
      <x:c r="X13" s="56" t="str">
        <x:f>IF(AND(X$5&gt;='任务与甘特'!$T14,X$5&lt;='任务与甘特'!$U14),"■","")</x:f>
        <x:v>■</x:v>
      </x:c>
      <x:c r="Y13" s="56" t="str">
        <x:f>IF(AND(Y$5&gt;='任务与甘特'!$T14,Y$5&lt;='任务与甘特'!$U14),"■","")</x:f>
        <x:v>■</x:v>
      </x:c>
      <x:c r="Z13" s="56" t="str">
        <x:f>IF(AND(Z$5&gt;='任务与甘特'!$T14,Z$5&lt;='任务与甘特'!$U14),"■","")</x:f>
        <x:v>■</x:v>
      </x:c>
      <x:c r="AA13" s="56" t="str">
        <x:f>IF(AND(AA$5&gt;='任务与甘特'!$T14,AA$5&lt;='任务与甘特'!$U14),"■","")</x:f>
        <x:v>■</x:v>
      </x:c>
      <x:c r="AB13" s="56" t="str">
        <x:f>IF(AND(AB$5&gt;='任务与甘特'!$T14,AB$5&lt;='任务与甘特'!$U14),"■","")</x:f>
        <x:v>■</x:v>
      </x:c>
      <x:c r="AC13" s="56" t="str">
        <x:f>IF(AND(AC$5&gt;='任务与甘特'!$T14,AC$5&lt;='任务与甘特'!$U14),"■","")</x:f>
        <x:v>■</x:v>
      </x:c>
      <x:c r="AD13" s="56" t="str">
        <x:f>IF(AND(AD$5&gt;='任务与甘特'!$T14,AD$5&lt;='任务与甘特'!$U14),"■","")</x:f>
        <x:v>■</x:v>
      </x:c>
      <x:c r="AE13" s="56" t="str">
        <x:f>IF(AND(AE$5&gt;='任务与甘特'!$T14,AE$5&lt;='任务与甘特'!$U14),"■","")</x:f>
        <x:v>■</x:v>
      </x:c>
      <x:c r="AF13" s="56" t="str">
        <x:f>IF(AND(AF$5&gt;='任务与甘特'!$T14,AF$5&lt;='任务与甘特'!$U14),"■","")</x:f>
        <x:v>■</x:v>
      </x:c>
      <x:c r="AG13" s="56" t="str">
        <x:f>IF(AND(AG$5&gt;='任务与甘特'!$T14,AG$5&lt;='任务与甘特'!$U14),"■","")</x:f>
        <x:v>■</x:v>
      </x:c>
      <x:c r="AH13" s="56" t="str">
        <x:f>IF(AND(AH$5&gt;='任务与甘特'!$T14,AH$5&lt;='任务与甘特'!$U14),"■","")</x:f>
        <x:v>■</x:v>
      </x:c>
      <x:c r="AI13" s="56" t="str">
        <x:f>IF(AND(AI$5&gt;='任务与甘特'!$T14,AI$5&lt;='任务与甘特'!$U14),"■","")</x:f>
        <x:v>■</x:v>
      </x:c>
      <x:c r="AJ13" s="56" t="str">
        <x:f>IF(AND(AJ$5&gt;='任务与甘特'!$T14,AJ$5&lt;='任务与甘特'!$U14),"■","")</x:f>
        <x:v>■</x:v>
      </x:c>
      <x:c r="AK13" s="56" t="str">
        <x:f>IF(AND(AK$5&gt;='任务与甘特'!$T14,AK$5&lt;='任务与甘特'!$U14),"■","")</x:f>
        <x:v>■</x:v>
      </x:c>
      <x:c r="AL13" s="56" t="str">
        <x:f>IF(AND(AL$5&gt;='任务与甘特'!$T14,AL$5&lt;='任务与甘特'!$U14),"■","")</x:f>
        <x:v>■</x:v>
      </x:c>
      <x:c r="AM13" s="56" t="str">
        <x:f>IF(AND(AM$5&gt;='任务与甘特'!$T14,AM$5&lt;='任务与甘特'!$U14),"■","")</x:f>
        <x:v>■</x:v>
      </x:c>
      <x:c r="AN13" s="56" t="str">
        <x:f>IF(AND(AN$5&gt;='任务与甘特'!$T14,AN$5&lt;='任务与甘特'!$U14),"■","")</x:f>
        <x:v>■</x:v>
      </x:c>
      <x:c r="AO13" s="56" t="str">
        <x:f>IF(AND(AO$5&gt;='任务与甘特'!$T14,AO$5&lt;='任务与甘特'!$U14),"■","")</x:f>
        <x:v>■</x:v>
      </x:c>
      <x:c r="AP13" s="56" t="str">
        <x:f>IF(AND(AP$5&gt;='任务与甘特'!$T14,AP$5&lt;='任务与甘特'!$U14),"■","")</x:f>
      </x:c>
    </x:row>
    <x:row r="14" ht="38" customHeight="1">
      <x:c r="A14" s="29" t="str">
        <x:f>'任务与甘特'!A15</x:f>
        <x:v>T3.1</x:v>
      </x:c>
      <x:c r="B14" s="29" t="str">
        <x:f>'任务与甘特'!B15</x:f>
        <x:v>建立开发与本地集成环境</x:v>
      </x:c>
      <x:c r="C14" s="56" t="str">
        <x:f>IF(AND(C$5&gt;='任务与甘特'!$T15,C$5&lt;='任务与甘特'!$U15),"■","")</x:f>
      </x:c>
      <x:c r="D14" s="56" t="str">
        <x:f>IF(AND(D$5&gt;='任务与甘特'!$T15,D$5&lt;='任务与甘特'!$U15),"■","")</x:f>
      </x:c>
      <x:c r="E14" s="56" t="str">
        <x:f>IF(AND(E$5&gt;='任务与甘特'!$T15,E$5&lt;='任务与甘特'!$U15),"■","")</x:f>
      </x:c>
      <x:c r="F14" s="56" t="str">
        <x:f>IF(AND(F$5&gt;='任务与甘特'!$T15,F$5&lt;='任务与甘特'!$U15),"■","")</x:f>
      </x:c>
      <x:c r="G14" s="56" t="str">
        <x:f>IF(AND(G$5&gt;='任务与甘特'!$T15,G$5&lt;='任务与甘特'!$U15),"■","")</x:f>
        <x:v>■</x:v>
      </x:c>
      <x:c r="H14" s="56" t="str">
        <x:f>IF(AND(H$5&gt;='任务与甘特'!$T15,H$5&lt;='任务与甘特'!$U15),"■","")</x:f>
        <x:v>■</x:v>
      </x:c>
      <x:c r="I14" s="56" t="str">
        <x:f>IF(AND(I$5&gt;='任务与甘特'!$T15,I$5&lt;='任务与甘特'!$U15),"■","")</x:f>
      </x:c>
      <x:c r="J14" s="56" t="str">
        <x:f>IF(AND(J$5&gt;='任务与甘特'!$T15,J$5&lt;='任务与甘特'!$U15),"■","")</x:f>
      </x:c>
      <x:c r="K14" s="56" t="str">
        <x:f>IF(AND(K$5&gt;='任务与甘特'!$T15,K$5&lt;='任务与甘特'!$U15),"■","")</x:f>
      </x:c>
      <x:c r="L14" s="56" t="str">
        <x:f>IF(AND(L$5&gt;='任务与甘特'!$T15,L$5&lt;='任务与甘特'!$U15),"■","")</x:f>
      </x:c>
      <x:c r="M14" s="56" t="str">
        <x:f>IF(AND(M$5&gt;='任务与甘特'!$T15,M$5&lt;='任务与甘特'!$U15),"■","")</x:f>
      </x:c>
      <x:c r="N14" s="56" t="str">
        <x:f>IF(AND(N$5&gt;='任务与甘特'!$T15,N$5&lt;='任务与甘特'!$U15),"■","")</x:f>
      </x:c>
      <x:c r="O14" s="56" t="str">
        <x:f>IF(AND(O$5&gt;='任务与甘特'!$T15,O$5&lt;='任务与甘特'!$U15),"■","")</x:f>
      </x:c>
      <x:c r="P14" s="56" t="str">
        <x:f>IF(AND(P$5&gt;='任务与甘特'!$T15,P$5&lt;='任务与甘特'!$U15),"■","")</x:f>
      </x:c>
      <x:c r="Q14" s="56" t="str">
        <x:f>IF(AND(Q$5&gt;='任务与甘特'!$T15,Q$5&lt;='任务与甘特'!$U15),"■","")</x:f>
      </x:c>
      <x:c r="R14" s="56" t="str">
        <x:f>IF(AND(R$5&gt;='任务与甘特'!$T15,R$5&lt;='任务与甘特'!$U15),"■","")</x:f>
      </x:c>
      <x:c r="S14" s="56" t="str">
        <x:f>IF(AND(S$5&gt;='任务与甘特'!$T15,S$5&lt;='任务与甘特'!$U15),"■","")</x:f>
      </x:c>
      <x:c r="T14" s="56" t="str">
        <x:f>IF(AND(T$5&gt;='任务与甘特'!$T15,T$5&lt;='任务与甘特'!$U15),"■","")</x:f>
      </x:c>
      <x:c r="U14" s="56" t="str">
        <x:f>IF(AND(U$5&gt;='任务与甘特'!$T15,U$5&lt;='任务与甘特'!$U15),"■","")</x:f>
      </x:c>
      <x:c r="V14" s="56" t="str">
        <x:f>IF(AND(V$5&gt;='任务与甘特'!$T15,V$5&lt;='任务与甘特'!$U15),"■","")</x:f>
      </x:c>
      <x:c r="W14" s="56" t="str">
        <x:f>IF(AND(W$5&gt;='任务与甘特'!$T15,W$5&lt;='任务与甘特'!$U15),"■","")</x:f>
      </x:c>
      <x:c r="X14" s="56" t="str">
        <x:f>IF(AND(X$5&gt;='任务与甘特'!$T15,X$5&lt;='任务与甘特'!$U15),"■","")</x:f>
      </x:c>
      <x:c r="Y14" s="56" t="str">
        <x:f>IF(AND(Y$5&gt;='任务与甘特'!$T15,Y$5&lt;='任务与甘特'!$U15),"■","")</x:f>
      </x:c>
      <x:c r="Z14" s="56" t="str">
        <x:f>IF(AND(Z$5&gt;='任务与甘特'!$T15,Z$5&lt;='任务与甘特'!$U15),"■","")</x:f>
      </x:c>
      <x:c r="AA14" s="56" t="str">
        <x:f>IF(AND(AA$5&gt;='任务与甘特'!$T15,AA$5&lt;='任务与甘特'!$U15),"■","")</x:f>
      </x:c>
      <x:c r="AB14" s="56" t="str">
        <x:f>IF(AND(AB$5&gt;='任务与甘特'!$T15,AB$5&lt;='任务与甘特'!$U15),"■","")</x:f>
      </x:c>
      <x:c r="AC14" s="56" t="str">
        <x:f>IF(AND(AC$5&gt;='任务与甘特'!$T15,AC$5&lt;='任务与甘特'!$U15),"■","")</x:f>
      </x:c>
      <x:c r="AD14" s="56" t="str">
        <x:f>IF(AND(AD$5&gt;='任务与甘特'!$T15,AD$5&lt;='任务与甘特'!$U15),"■","")</x:f>
      </x:c>
      <x:c r="AE14" s="56" t="str">
        <x:f>IF(AND(AE$5&gt;='任务与甘特'!$T15,AE$5&lt;='任务与甘特'!$U15),"■","")</x:f>
      </x:c>
      <x:c r="AF14" s="56" t="str">
        <x:f>IF(AND(AF$5&gt;='任务与甘特'!$T15,AF$5&lt;='任务与甘特'!$U15),"■","")</x:f>
      </x:c>
      <x:c r="AG14" s="56" t="str">
        <x:f>IF(AND(AG$5&gt;='任务与甘特'!$T15,AG$5&lt;='任务与甘特'!$U15),"■","")</x:f>
      </x:c>
      <x:c r="AH14" s="56" t="str">
        <x:f>IF(AND(AH$5&gt;='任务与甘特'!$T15,AH$5&lt;='任务与甘特'!$U15),"■","")</x:f>
      </x:c>
      <x:c r="AI14" s="56" t="str">
        <x:f>IF(AND(AI$5&gt;='任务与甘特'!$T15,AI$5&lt;='任务与甘特'!$U15),"■","")</x:f>
      </x:c>
      <x:c r="AJ14" s="56" t="str">
        <x:f>IF(AND(AJ$5&gt;='任务与甘特'!$T15,AJ$5&lt;='任务与甘特'!$U15),"■","")</x:f>
      </x:c>
      <x:c r="AK14" s="56" t="str">
        <x:f>IF(AND(AK$5&gt;='任务与甘特'!$T15,AK$5&lt;='任务与甘特'!$U15),"■","")</x:f>
      </x:c>
      <x:c r="AL14" s="56" t="str">
        <x:f>IF(AND(AL$5&gt;='任务与甘特'!$T15,AL$5&lt;='任务与甘特'!$U15),"■","")</x:f>
      </x:c>
      <x:c r="AM14" s="56" t="str">
        <x:f>IF(AND(AM$5&gt;='任务与甘特'!$T15,AM$5&lt;='任务与甘特'!$U15),"■","")</x:f>
      </x:c>
      <x:c r="AN14" s="56" t="str">
        <x:f>IF(AND(AN$5&gt;='任务与甘特'!$T15,AN$5&lt;='任务与甘特'!$U15),"■","")</x:f>
      </x:c>
      <x:c r="AO14" s="56" t="str">
        <x:f>IF(AND(AO$5&gt;='任务与甘特'!$T15,AO$5&lt;='任务与甘特'!$U15),"■","")</x:f>
      </x:c>
      <x:c r="AP14" s="56" t="str">
        <x:f>IF(AND(AP$5&gt;='任务与甘特'!$T15,AP$5&lt;='任务与甘特'!$U15),"■","")</x:f>
      </x:c>
    </x:row>
    <x:row r="15" ht="38" customHeight="1">
      <x:c r="A15" s="29" t="str">
        <x:f>'任务与甘特'!A16</x:f>
        <x:v>T3.2</x:v>
      </x:c>
      <x:c r="B15" s="29" t="str">
        <x:f>'任务与甘特'!B16</x:f>
        <x:v>实现认证、权限和角色基础</x:v>
      </x:c>
      <x:c r="C15" s="56" t="str">
        <x:f>IF(AND(C$5&gt;='任务与甘特'!$T16,C$5&lt;='任务与甘特'!$U16),"■","")</x:f>
      </x:c>
      <x:c r="D15" s="56" t="str">
        <x:f>IF(AND(D$5&gt;='任务与甘特'!$T16,D$5&lt;='任务与甘特'!$U16),"■","")</x:f>
      </x:c>
      <x:c r="E15" s="56" t="str">
        <x:f>IF(AND(E$5&gt;='任务与甘特'!$T16,E$5&lt;='任务与甘特'!$U16),"■","")</x:f>
      </x:c>
      <x:c r="F15" s="56" t="str">
        <x:f>IF(AND(F$5&gt;='任务与甘特'!$T16,F$5&lt;='任务与甘特'!$U16),"■","")</x:f>
      </x:c>
      <x:c r="G15" s="56" t="str">
        <x:f>IF(AND(G$5&gt;='任务与甘特'!$T16,G$5&lt;='任务与甘特'!$U16),"■","")</x:f>
      </x:c>
      <x:c r="H15" s="56" t="str">
        <x:f>IF(AND(H$5&gt;='任务与甘特'!$T16,H$5&lt;='任务与甘特'!$U16),"■","")</x:f>
      </x:c>
      <x:c r="I15" s="56" t="str">
        <x:f>IF(AND(I$5&gt;='任务与甘特'!$T16,I$5&lt;='任务与甘特'!$U16),"■","")</x:f>
        <x:v>■</x:v>
      </x:c>
      <x:c r="J15" s="56" t="str">
        <x:f>IF(AND(J$5&gt;='任务与甘特'!$T16,J$5&lt;='任务与甘特'!$U16),"■","")</x:f>
        <x:v>■</x:v>
      </x:c>
      <x:c r="K15" s="56" t="str">
        <x:f>IF(AND(K$5&gt;='任务与甘特'!$T16,K$5&lt;='任务与甘特'!$U16),"■","")</x:f>
        <x:v>■</x:v>
      </x:c>
      <x:c r="L15" s="56" t="str">
        <x:f>IF(AND(L$5&gt;='任务与甘特'!$T16,L$5&lt;='任务与甘特'!$U16),"■","")</x:f>
      </x:c>
      <x:c r="M15" s="56" t="str">
        <x:f>IF(AND(M$5&gt;='任务与甘特'!$T16,M$5&lt;='任务与甘特'!$U16),"■","")</x:f>
      </x:c>
      <x:c r="N15" s="56" t="str">
        <x:f>IF(AND(N$5&gt;='任务与甘特'!$T16,N$5&lt;='任务与甘特'!$U16),"■","")</x:f>
      </x:c>
      <x:c r="O15" s="56" t="str">
        <x:f>IF(AND(O$5&gt;='任务与甘特'!$T16,O$5&lt;='任务与甘特'!$U16),"■","")</x:f>
      </x:c>
      <x:c r="P15" s="56" t="str">
        <x:f>IF(AND(P$5&gt;='任务与甘特'!$T16,P$5&lt;='任务与甘特'!$U16),"■","")</x:f>
      </x:c>
      <x:c r="Q15" s="56" t="str">
        <x:f>IF(AND(Q$5&gt;='任务与甘特'!$T16,Q$5&lt;='任务与甘特'!$U16),"■","")</x:f>
      </x:c>
      <x:c r="R15" s="56" t="str">
        <x:f>IF(AND(R$5&gt;='任务与甘特'!$T16,R$5&lt;='任务与甘特'!$U16),"■","")</x:f>
      </x:c>
      <x:c r="S15" s="56" t="str">
        <x:f>IF(AND(S$5&gt;='任务与甘特'!$T16,S$5&lt;='任务与甘特'!$U16),"■","")</x:f>
      </x:c>
      <x:c r="T15" s="56" t="str">
        <x:f>IF(AND(T$5&gt;='任务与甘特'!$T16,T$5&lt;='任务与甘特'!$U16),"■","")</x:f>
      </x:c>
      <x:c r="U15" s="56" t="str">
        <x:f>IF(AND(U$5&gt;='任务与甘特'!$T16,U$5&lt;='任务与甘特'!$U16),"■","")</x:f>
      </x:c>
      <x:c r="V15" s="56" t="str">
        <x:f>IF(AND(V$5&gt;='任务与甘特'!$T16,V$5&lt;='任务与甘特'!$U16),"■","")</x:f>
      </x:c>
      <x:c r="W15" s="56" t="str">
        <x:f>IF(AND(W$5&gt;='任务与甘特'!$T16,W$5&lt;='任务与甘特'!$U16),"■","")</x:f>
      </x:c>
      <x:c r="X15" s="56" t="str">
        <x:f>IF(AND(X$5&gt;='任务与甘特'!$T16,X$5&lt;='任务与甘特'!$U16),"■","")</x:f>
      </x:c>
      <x:c r="Y15" s="56" t="str">
        <x:f>IF(AND(Y$5&gt;='任务与甘特'!$T16,Y$5&lt;='任务与甘特'!$U16),"■","")</x:f>
      </x:c>
      <x:c r="Z15" s="56" t="str">
        <x:f>IF(AND(Z$5&gt;='任务与甘特'!$T16,Z$5&lt;='任务与甘特'!$U16),"■","")</x:f>
      </x:c>
      <x:c r="AA15" s="56" t="str">
        <x:f>IF(AND(AA$5&gt;='任务与甘特'!$T16,AA$5&lt;='任务与甘特'!$U16),"■","")</x:f>
      </x:c>
      <x:c r="AB15" s="56" t="str">
        <x:f>IF(AND(AB$5&gt;='任务与甘特'!$T16,AB$5&lt;='任务与甘特'!$U16),"■","")</x:f>
      </x:c>
      <x:c r="AC15" s="56" t="str">
        <x:f>IF(AND(AC$5&gt;='任务与甘特'!$T16,AC$5&lt;='任务与甘特'!$U16),"■","")</x:f>
      </x:c>
      <x:c r="AD15" s="56" t="str">
        <x:f>IF(AND(AD$5&gt;='任务与甘特'!$T16,AD$5&lt;='任务与甘特'!$U16),"■","")</x:f>
      </x:c>
      <x:c r="AE15" s="56" t="str">
        <x:f>IF(AND(AE$5&gt;='任务与甘特'!$T16,AE$5&lt;='任务与甘特'!$U16),"■","")</x:f>
      </x:c>
      <x:c r="AF15" s="56" t="str">
        <x:f>IF(AND(AF$5&gt;='任务与甘特'!$T16,AF$5&lt;='任务与甘特'!$U16),"■","")</x:f>
      </x:c>
      <x:c r="AG15" s="56" t="str">
        <x:f>IF(AND(AG$5&gt;='任务与甘特'!$T16,AG$5&lt;='任务与甘特'!$U16),"■","")</x:f>
      </x:c>
      <x:c r="AH15" s="56" t="str">
        <x:f>IF(AND(AH$5&gt;='任务与甘特'!$T16,AH$5&lt;='任务与甘特'!$U16),"■","")</x:f>
      </x:c>
      <x:c r="AI15" s="56" t="str">
        <x:f>IF(AND(AI$5&gt;='任务与甘特'!$T16,AI$5&lt;='任务与甘特'!$U16),"■","")</x:f>
      </x:c>
      <x:c r="AJ15" s="56" t="str">
        <x:f>IF(AND(AJ$5&gt;='任务与甘特'!$T16,AJ$5&lt;='任务与甘特'!$U16),"■","")</x:f>
      </x:c>
      <x:c r="AK15" s="56" t="str">
        <x:f>IF(AND(AK$5&gt;='任务与甘特'!$T16,AK$5&lt;='任务与甘特'!$U16),"■","")</x:f>
      </x:c>
      <x:c r="AL15" s="56" t="str">
        <x:f>IF(AND(AL$5&gt;='任务与甘特'!$T16,AL$5&lt;='任务与甘特'!$U16),"■","")</x:f>
      </x:c>
      <x:c r="AM15" s="56" t="str">
        <x:f>IF(AND(AM$5&gt;='任务与甘特'!$T16,AM$5&lt;='任务与甘特'!$U16),"■","")</x:f>
      </x:c>
      <x:c r="AN15" s="56" t="str">
        <x:f>IF(AND(AN$5&gt;='任务与甘特'!$T16,AN$5&lt;='任务与甘特'!$U16),"■","")</x:f>
      </x:c>
      <x:c r="AO15" s="56" t="str">
        <x:f>IF(AND(AO$5&gt;='任务与甘特'!$T16,AO$5&lt;='任务与甘特'!$U16),"■","")</x:f>
      </x:c>
      <x:c r="AP15" s="56" t="str">
        <x:f>IF(AND(AP$5&gt;='任务与甘特'!$T16,AP$5&lt;='任务与甘特'!$U16),"■","")</x:f>
      </x:c>
    </x:row>
    <x:row r="16" ht="38" customHeight="1">
      <x:c r="A16" s="29" t="str">
        <x:f>'任务与甘特'!A17</x:f>
        <x:v>T3.3</x:v>
      </x:c>
      <x:c r="B16" s="29" t="str">
        <x:f>'任务与甘特'!B17</x:f>
        <x:v>实现字典、地区和基准管理</x:v>
      </x:c>
      <x:c r="C16" s="56" t="str">
        <x:f>IF(AND(C$5&gt;='任务与甘特'!$T17,C$5&lt;='任务与甘特'!$U17),"■","")</x:f>
      </x:c>
      <x:c r="D16" s="56" t="str">
        <x:f>IF(AND(D$5&gt;='任务与甘特'!$T17,D$5&lt;='任务与甘特'!$U17),"■","")</x:f>
      </x:c>
      <x:c r="E16" s="56" t="str">
        <x:f>IF(AND(E$5&gt;='任务与甘特'!$T17,E$5&lt;='任务与甘特'!$U17),"■","")</x:f>
      </x:c>
      <x:c r="F16" s="56" t="str">
        <x:f>IF(AND(F$5&gt;='任务与甘特'!$T17,F$5&lt;='任务与甘特'!$U17),"■","")</x:f>
      </x:c>
      <x:c r="G16" s="56" t="str">
        <x:f>IF(AND(G$5&gt;='任务与甘特'!$T17,G$5&lt;='任务与甘特'!$U17),"■","")</x:f>
      </x:c>
      <x:c r="H16" s="56" t="str">
        <x:f>IF(AND(H$5&gt;='任务与甘特'!$T17,H$5&lt;='任务与甘特'!$U17),"■","")</x:f>
      </x:c>
      <x:c r="I16" s="56" t="str">
        <x:f>IF(AND(I$5&gt;='任务与甘特'!$T17,I$5&lt;='任务与甘特'!$U17),"■","")</x:f>
        <x:v>■</x:v>
      </x:c>
      <x:c r="J16" s="56" t="str">
        <x:f>IF(AND(J$5&gt;='任务与甘特'!$T17,J$5&lt;='任务与甘特'!$U17),"■","")</x:f>
        <x:v>■</x:v>
      </x:c>
      <x:c r="K16" s="56" t="str">
        <x:f>IF(AND(K$5&gt;='任务与甘特'!$T17,K$5&lt;='任务与甘特'!$U17),"■","")</x:f>
      </x:c>
      <x:c r="L16" s="56" t="str">
        <x:f>IF(AND(L$5&gt;='任务与甘特'!$T17,L$5&lt;='任务与甘特'!$U17),"■","")</x:f>
      </x:c>
      <x:c r="M16" s="56" t="str">
        <x:f>IF(AND(M$5&gt;='任务与甘特'!$T17,M$5&lt;='任务与甘特'!$U17),"■","")</x:f>
      </x:c>
      <x:c r="N16" s="56" t="str">
        <x:f>IF(AND(N$5&gt;='任务与甘特'!$T17,N$5&lt;='任务与甘特'!$U17),"■","")</x:f>
      </x:c>
      <x:c r="O16" s="56" t="str">
        <x:f>IF(AND(O$5&gt;='任务与甘特'!$T17,O$5&lt;='任务与甘特'!$U17),"■","")</x:f>
      </x:c>
      <x:c r="P16" s="56" t="str">
        <x:f>IF(AND(P$5&gt;='任务与甘特'!$T17,P$5&lt;='任务与甘特'!$U17),"■","")</x:f>
      </x:c>
      <x:c r="Q16" s="56" t="str">
        <x:f>IF(AND(Q$5&gt;='任务与甘特'!$T17,Q$5&lt;='任务与甘特'!$U17),"■","")</x:f>
      </x:c>
      <x:c r="R16" s="56" t="str">
        <x:f>IF(AND(R$5&gt;='任务与甘特'!$T17,R$5&lt;='任务与甘特'!$U17),"■","")</x:f>
      </x:c>
      <x:c r="S16" s="56" t="str">
        <x:f>IF(AND(S$5&gt;='任务与甘特'!$T17,S$5&lt;='任务与甘特'!$U17),"■","")</x:f>
      </x:c>
      <x:c r="T16" s="56" t="str">
        <x:f>IF(AND(T$5&gt;='任务与甘特'!$T17,T$5&lt;='任务与甘特'!$U17),"■","")</x:f>
      </x:c>
      <x:c r="U16" s="56" t="str">
        <x:f>IF(AND(U$5&gt;='任务与甘特'!$T17,U$5&lt;='任务与甘特'!$U17),"■","")</x:f>
      </x:c>
      <x:c r="V16" s="56" t="str">
        <x:f>IF(AND(V$5&gt;='任务与甘特'!$T17,V$5&lt;='任务与甘特'!$U17),"■","")</x:f>
      </x:c>
      <x:c r="W16" s="56" t="str">
        <x:f>IF(AND(W$5&gt;='任务与甘特'!$T17,W$5&lt;='任务与甘特'!$U17),"■","")</x:f>
      </x:c>
      <x:c r="X16" s="56" t="str">
        <x:f>IF(AND(X$5&gt;='任务与甘特'!$T17,X$5&lt;='任务与甘特'!$U17),"■","")</x:f>
      </x:c>
      <x:c r="Y16" s="56" t="str">
        <x:f>IF(AND(Y$5&gt;='任务与甘特'!$T17,Y$5&lt;='任务与甘特'!$U17),"■","")</x:f>
      </x:c>
      <x:c r="Z16" s="56" t="str">
        <x:f>IF(AND(Z$5&gt;='任务与甘特'!$T17,Z$5&lt;='任务与甘特'!$U17),"■","")</x:f>
      </x:c>
      <x:c r="AA16" s="56" t="str">
        <x:f>IF(AND(AA$5&gt;='任务与甘特'!$T17,AA$5&lt;='任务与甘特'!$U17),"■","")</x:f>
      </x:c>
      <x:c r="AB16" s="56" t="str">
        <x:f>IF(AND(AB$5&gt;='任务与甘特'!$T17,AB$5&lt;='任务与甘特'!$U17),"■","")</x:f>
      </x:c>
      <x:c r="AC16" s="56" t="str">
        <x:f>IF(AND(AC$5&gt;='任务与甘特'!$T17,AC$5&lt;='任务与甘特'!$U17),"■","")</x:f>
      </x:c>
      <x:c r="AD16" s="56" t="str">
        <x:f>IF(AND(AD$5&gt;='任务与甘特'!$T17,AD$5&lt;='任务与甘特'!$U17),"■","")</x:f>
      </x:c>
      <x:c r="AE16" s="56" t="str">
        <x:f>IF(AND(AE$5&gt;='任务与甘特'!$T17,AE$5&lt;='任务与甘特'!$U17),"■","")</x:f>
      </x:c>
      <x:c r="AF16" s="56" t="str">
        <x:f>IF(AND(AF$5&gt;='任务与甘特'!$T17,AF$5&lt;='任务与甘特'!$U17),"■","")</x:f>
      </x:c>
      <x:c r="AG16" s="56" t="str">
        <x:f>IF(AND(AG$5&gt;='任务与甘特'!$T17,AG$5&lt;='任务与甘特'!$U17),"■","")</x:f>
      </x:c>
      <x:c r="AH16" s="56" t="str">
        <x:f>IF(AND(AH$5&gt;='任务与甘特'!$T17,AH$5&lt;='任务与甘特'!$U17),"■","")</x:f>
      </x:c>
      <x:c r="AI16" s="56" t="str">
        <x:f>IF(AND(AI$5&gt;='任务与甘特'!$T17,AI$5&lt;='任务与甘特'!$U17),"■","")</x:f>
      </x:c>
      <x:c r="AJ16" s="56" t="str">
        <x:f>IF(AND(AJ$5&gt;='任务与甘特'!$T17,AJ$5&lt;='任务与甘特'!$U17),"■","")</x:f>
      </x:c>
      <x:c r="AK16" s="56" t="str">
        <x:f>IF(AND(AK$5&gt;='任务与甘特'!$T17,AK$5&lt;='任务与甘特'!$U17),"■","")</x:f>
      </x:c>
      <x:c r="AL16" s="56" t="str">
        <x:f>IF(AND(AL$5&gt;='任务与甘特'!$T17,AL$5&lt;='任务与甘特'!$U17),"■","")</x:f>
      </x:c>
      <x:c r="AM16" s="56" t="str">
        <x:f>IF(AND(AM$5&gt;='任务与甘特'!$T17,AM$5&lt;='任务与甘特'!$U17),"■","")</x:f>
      </x:c>
      <x:c r="AN16" s="56" t="str">
        <x:f>IF(AND(AN$5&gt;='任务与甘特'!$T17,AN$5&lt;='任务与甘特'!$U17),"■","")</x:f>
      </x:c>
      <x:c r="AO16" s="56" t="str">
        <x:f>IF(AND(AO$5&gt;='任务与甘特'!$T17,AO$5&lt;='任务与甘特'!$U17),"■","")</x:f>
      </x:c>
      <x:c r="AP16" s="56" t="str">
        <x:f>IF(AND(AP$5&gt;='任务与甘特'!$T17,AP$5&lt;='任务与甘特'!$U17),"■","")</x:f>
      </x:c>
    </x:row>
    <x:row r="17" ht="38" customHeight="1">
      <x:c r="A17" s="29" t="str">
        <x:f>'任务与甘特'!A18</x:f>
        <x:v>T3.4</x:v>
      </x:c>
      <x:c r="B17" s="29" t="str">
        <x:f>'任务与甘特'!B18</x:f>
        <x:v>实现企业资料与备案审批</x:v>
      </x:c>
      <x:c r="C17" s="56" t="str">
        <x:f>IF(AND(C$5&gt;='任务与甘特'!$T18,C$5&lt;='任务与甘特'!$U18),"■","")</x:f>
      </x:c>
      <x:c r="D17" s="56" t="str">
        <x:f>IF(AND(D$5&gt;='任务与甘特'!$T18,D$5&lt;='任务与甘特'!$U18),"■","")</x:f>
      </x:c>
      <x:c r="E17" s="56" t="str">
        <x:f>IF(AND(E$5&gt;='任务与甘特'!$T18,E$5&lt;='任务与甘特'!$U18),"■","")</x:f>
      </x:c>
      <x:c r="F17" s="56" t="str">
        <x:f>IF(AND(F$5&gt;='任务与甘特'!$T18,F$5&lt;='任务与甘特'!$U18),"■","")</x:f>
      </x:c>
      <x:c r="G17" s="56" t="str">
        <x:f>IF(AND(G$5&gt;='任务与甘特'!$T18,G$5&lt;='任务与甘特'!$U18),"■","")</x:f>
      </x:c>
      <x:c r="H17" s="56" t="str">
        <x:f>IF(AND(H$5&gt;='任务与甘特'!$T18,H$5&lt;='任务与甘特'!$U18),"■","")</x:f>
      </x:c>
      <x:c r="I17" s="56" t="str">
        <x:f>IF(AND(I$5&gt;='任务与甘特'!$T18,I$5&lt;='任务与甘特'!$U18),"■","")</x:f>
      </x:c>
      <x:c r="J17" s="56" t="str">
        <x:f>IF(AND(J$5&gt;='任务与甘特'!$T18,J$5&lt;='任务与甘特'!$U18),"■","")</x:f>
      </x:c>
      <x:c r="K17" s="56" t="str">
        <x:f>IF(AND(K$5&gt;='任务与甘特'!$T18,K$5&lt;='任务与甘特'!$U18),"■","")</x:f>
      </x:c>
      <x:c r="L17" s="56" t="str">
        <x:f>IF(AND(L$5&gt;='任务与甘特'!$T18,L$5&lt;='任务与甘特'!$U18),"■","")</x:f>
        <x:v>■</x:v>
      </x:c>
      <x:c r="M17" s="56" t="str">
        <x:f>IF(AND(M$5&gt;='任务与甘特'!$T18,M$5&lt;='任务与甘特'!$U18),"■","")</x:f>
        <x:v>■</x:v>
      </x:c>
      <x:c r="N17" s="56" t="str">
        <x:f>IF(AND(N$5&gt;='任务与甘特'!$T18,N$5&lt;='任务与甘特'!$U18),"■","")</x:f>
        <x:v>■</x:v>
      </x:c>
      <x:c r="O17" s="56" t="str">
        <x:f>IF(AND(O$5&gt;='任务与甘特'!$T18,O$5&lt;='任务与甘特'!$U18),"■","")</x:f>
      </x:c>
      <x:c r="P17" s="56" t="str">
        <x:f>IF(AND(P$5&gt;='任务与甘特'!$T18,P$5&lt;='任务与甘特'!$U18),"■","")</x:f>
      </x:c>
      <x:c r="Q17" s="56" t="str">
        <x:f>IF(AND(Q$5&gt;='任务与甘特'!$T18,Q$5&lt;='任务与甘特'!$U18),"■","")</x:f>
      </x:c>
      <x:c r="R17" s="56" t="str">
        <x:f>IF(AND(R$5&gt;='任务与甘特'!$T18,R$5&lt;='任务与甘特'!$U18),"■","")</x:f>
      </x:c>
      <x:c r="S17" s="56" t="str">
        <x:f>IF(AND(S$5&gt;='任务与甘特'!$T18,S$5&lt;='任务与甘特'!$U18),"■","")</x:f>
      </x:c>
      <x:c r="T17" s="56" t="str">
        <x:f>IF(AND(T$5&gt;='任务与甘特'!$T18,T$5&lt;='任务与甘特'!$U18),"■","")</x:f>
      </x:c>
      <x:c r="U17" s="56" t="str">
        <x:f>IF(AND(U$5&gt;='任务与甘特'!$T18,U$5&lt;='任务与甘特'!$U18),"■","")</x:f>
      </x:c>
      <x:c r="V17" s="56" t="str">
        <x:f>IF(AND(V$5&gt;='任务与甘特'!$T18,V$5&lt;='任务与甘特'!$U18),"■","")</x:f>
      </x:c>
      <x:c r="W17" s="56" t="str">
        <x:f>IF(AND(W$5&gt;='任务与甘特'!$T18,W$5&lt;='任务与甘特'!$U18),"■","")</x:f>
      </x:c>
      <x:c r="X17" s="56" t="str">
        <x:f>IF(AND(X$5&gt;='任务与甘特'!$T18,X$5&lt;='任务与甘特'!$U18),"■","")</x:f>
      </x:c>
      <x:c r="Y17" s="56" t="str">
        <x:f>IF(AND(Y$5&gt;='任务与甘特'!$T18,Y$5&lt;='任务与甘特'!$U18),"■","")</x:f>
      </x:c>
      <x:c r="Z17" s="56" t="str">
        <x:f>IF(AND(Z$5&gt;='任务与甘特'!$T18,Z$5&lt;='任务与甘特'!$U18),"■","")</x:f>
      </x:c>
      <x:c r="AA17" s="56" t="str">
        <x:f>IF(AND(AA$5&gt;='任务与甘特'!$T18,AA$5&lt;='任务与甘特'!$U18),"■","")</x:f>
      </x:c>
      <x:c r="AB17" s="56" t="str">
        <x:f>IF(AND(AB$5&gt;='任务与甘特'!$T18,AB$5&lt;='任务与甘特'!$U18),"■","")</x:f>
      </x:c>
      <x:c r="AC17" s="56" t="str">
        <x:f>IF(AND(AC$5&gt;='任务与甘特'!$T18,AC$5&lt;='任务与甘特'!$U18),"■","")</x:f>
      </x:c>
      <x:c r="AD17" s="56" t="str">
        <x:f>IF(AND(AD$5&gt;='任务与甘特'!$T18,AD$5&lt;='任务与甘特'!$U18),"■","")</x:f>
      </x:c>
      <x:c r="AE17" s="56" t="str">
        <x:f>IF(AND(AE$5&gt;='任务与甘特'!$T18,AE$5&lt;='任务与甘特'!$U18),"■","")</x:f>
      </x:c>
      <x:c r="AF17" s="56" t="str">
        <x:f>IF(AND(AF$5&gt;='任务与甘特'!$T18,AF$5&lt;='任务与甘特'!$U18),"■","")</x:f>
      </x:c>
      <x:c r="AG17" s="56" t="str">
        <x:f>IF(AND(AG$5&gt;='任务与甘特'!$T18,AG$5&lt;='任务与甘特'!$U18),"■","")</x:f>
      </x:c>
      <x:c r="AH17" s="56" t="str">
        <x:f>IF(AND(AH$5&gt;='任务与甘特'!$T18,AH$5&lt;='任务与甘特'!$U18),"■","")</x:f>
      </x:c>
      <x:c r="AI17" s="56" t="str">
        <x:f>IF(AND(AI$5&gt;='任务与甘特'!$T18,AI$5&lt;='任务与甘特'!$U18),"■","")</x:f>
      </x:c>
      <x:c r="AJ17" s="56" t="str">
        <x:f>IF(AND(AJ$5&gt;='任务与甘特'!$T18,AJ$5&lt;='任务与甘特'!$U18),"■","")</x:f>
      </x:c>
      <x:c r="AK17" s="56" t="str">
        <x:f>IF(AND(AK$5&gt;='任务与甘特'!$T18,AK$5&lt;='任务与甘特'!$U18),"■","")</x:f>
      </x:c>
      <x:c r="AL17" s="56" t="str">
        <x:f>IF(AND(AL$5&gt;='任务与甘特'!$T18,AL$5&lt;='任务与甘特'!$U18),"■","")</x:f>
      </x:c>
      <x:c r="AM17" s="56" t="str">
        <x:f>IF(AND(AM$5&gt;='任务与甘特'!$T18,AM$5&lt;='任务与甘特'!$U18),"■","")</x:f>
      </x:c>
      <x:c r="AN17" s="56" t="str">
        <x:f>IF(AND(AN$5&gt;='任务与甘特'!$T18,AN$5&lt;='任务与甘特'!$U18),"■","")</x:f>
      </x:c>
      <x:c r="AO17" s="56" t="str">
        <x:f>IF(AND(AO$5&gt;='任务与甘特'!$T18,AO$5&lt;='任务与甘特'!$U18),"■","")</x:f>
      </x:c>
      <x:c r="AP17" s="56" t="str">
        <x:f>IF(AND(AP$5&gt;='任务与甘特'!$T18,AP$5&lt;='任务与甘特'!$U18),"■","")</x:f>
      </x:c>
    </x:row>
    <x:row r="18" ht="38" customHeight="1">
      <x:c r="A18" s="29" t="str">
        <x:f>'任务与甘特'!A19</x:f>
        <x:v>T3.5</x:v>
      </x:c>
      <x:c r="B18" s="29" t="str">
        <x:f>'任务与甘特'!B19</x:f>
        <x:v>实现月报草稿、校验与提交</x:v>
      </x:c>
      <x:c r="C18" s="56" t="str">
        <x:f>IF(AND(C$5&gt;='任务与甘特'!$T19,C$5&lt;='任务与甘特'!$U19),"■","")</x:f>
      </x:c>
      <x:c r="D18" s="56" t="str">
        <x:f>IF(AND(D$5&gt;='任务与甘特'!$T19,D$5&lt;='任务与甘特'!$U19),"■","")</x:f>
      </x:c>
      <x:c r="E18" s="56" t="str">
        <x:f>IF(AND(E$5&gt;='任务与甘特'!$T19,E$5&lt;='任务与甘特'!$U19),"■","")</x:f>
      </x:c>
      <x:c r="F18" s="56" t="str">
        <x:f>IF(AND(F$5&gt;='任务与甘特'!$T19,F$5&lt;='任务与甘特'!$U19),"■","")</x:f>
      </x:c>
      <x:c r="G18" s="56" t="str">
        <x:f>IF(AND(G$5&gt;='任务与甘特'!$T19,G$5&lt;='任务与甘特'!$U19),"■","")</x:f>
      </x:c>
      <x:c r="H18" s="56" t="str">
        <x:f>IF(AND(H$5&gt;='任务与甘特'!$T19,H$5&lt;='任务与甘特'!$U19),"■","")</x:f>
      </x:c>
      <x:c r="I18" s="56" t="str">
        <x:f>IF(AND(I$5&gt;='任务与甘特'!$T19,I$5&lt;='任务与甘特'!$U19),"■","")</x:f>
      </x:c>
      <x:c r="J18" s="56" t="str">
        <x:f>IF(AND(J$5&gt;='任务与甘特'!$T19,J$5&lt;='任务与甘特'!$U19),"■","")</x:f>
      </x:c>
      <x:c r="K18" s="56" t="str">
        <x:f>IF(AND(K$5&gt;='任务与甘特'!$T19,K$5&lt;='任务与甘特'!$U19),"■","")</x:f>
      </x:c>
      <x:c r="L18" s="56" t="str">
        <x:f>IF(AND(L$5&gt;='任务与甘特'!$T19,L$5&lt;='任务与甘特'!$U19),"■","")</x:f>
      </x:c>
      <x:c r="M18" s="56" t="str">
        <x:f>IF(AND(M$5&gt;='任务与甘特'!$T19,M$5&lt;='任务与甘特'!$U19),"■","")</x:f>
      </x:c>
      <x:c r="N18" s="56" t="str">
        <x:f>IF(AND(N$5&gt;='任务与甘特'!$T19,N$5&lt;='任务与甘特'!$U19),"■","")</x:f>
        <x:v>■</x:v>
      </x:c>
      <x:c r="O18" s="56" t="str">
        <x:f>IF(AND(O$5&gt;='任务与甘特'!$T19,O$5&lt;='任务与甘特'!$U19),"■","")</x:f>
        <x:v>■</x:v>
      </x:c>
      <x:c r="P18" s="56" t="str">
        <x:f>IF(AND(P$5&gt;='任务与甘特'!$T19,P$5&lt;='任务与甘特'!$U19),"■","")</x:f>
        <x:v>■</x:v>
      </x:c>
      <x:c r="Q18" s="56" t="str">
        <x:f>IF(AND(Q$5&gt;='任务与甘特'!$T19,Q$5&lt;='任务与甘特'!$U19),"■","")</x:f>
      </x:c>
      <x:c r="R18" s="56" t="str">
        <x:f>IF(AND(R$5&gt;='任务与甘特'!$T19,R$5&lt;='任务与甘特'!$U19),"■","")</x:f>
      </x:c>
      <x:c r="S18" s="56" t="str">
        <x:f>IF(AND(S$5&gt;='任务与甘特'!$T19,S$5&lt;='任务与甘特'!$U19),"■","")</x:f>
      </x:c>
      <x:c r="T18" s="56" t="str">
        <x:f>IF(AND(T$5&gt;='任务与甘特'!$T19,T$5&lt;='任务与甘特'!$U19),"■","")</x:f>
      </x:c>
      <x:c r="U18" s="56" t="str">
        <x:f>IF(AND(U$5&gt;='任务与甘特'!$T19,U$5&lt;='任务与甘特'!$U19),"■","")</x:f>
      </x:c>
      <x:c r="V18" s="56" t="str">
        <x:f>IF(AND(V$5&gt;='任务与甘特'!$T19,V$5&lt;='任务与甘特'!$U19),"■","")</x:f>
      </x:c>
      <x:c r="W18" s="56" t="str">
        <x:f>IF(AND(W$5&gt;='任务与甘特'!$T19,W$5&lt;='任务与甘特'!$U19),"■","")</x:f>
      </x:c>
      <x:c r="X18" s="56" t="str">
        <x:f>IF(AND(X$5&gt;='任务与甘特'!$T19,X$5&lt;='任务与甘特'!$U19),"■","")</x:f>
      </x:c>
      <x:c r="Y18" s="56" t="str">
        <x:f>IF(AND(Y$5&gt;='任务与甘特'!$T19,Y$5&lt;='任务与甘特'!$U19),"■","")</x:f>
      </x:c>
      <x:c r="Z18" s="56" t="str">
        <x:f>IF(AND(Z$5&gt;='任务与甘特'!$T19,Z$5&lt;='任务与甘特'!$U19),"■","")</x:f>
      </x:c>
      <x:c r="AA18" s="56" t="str">
        <x:f>IF(AND(AA$5&gt;='任务与甘特'!$T19,AA$5&lt;='任务与甘特'!$U19),"■","")</x:f>
      </x:c>
      <x:c r="AB18" s="56" t="str">
        <x:f>IF(AND(AB$5&gt;='任务与甘特'!$T19,AB$5&lt;='任务与甘特'!$U19),"■","")</x:f>
      </x:c>
      <x:c r="AC18" s="56" t="str">
        <x:f>IF(AND(AC$5&gt;='任务与甘特'!$T19,AC$5&lt;='任务与甘特'!$U19),"■","")</x:f>
      </x:c>
      <x:c r="AD18" s="56" t="str">
        <x:f>IF(AND(AD$5&gt;='任务与甘特'!$T19,AD$5&lt;='任务与甘特'!$U19),"■","")</x:f>
      </x:c>
      <x:c r="AE18" s="56" t="str">
        <x:f>IF(AND(AE$5&gt;='任务与甘特'!$T19,AE$5&lt;='任务与甘特'!$U19),"■","")</x:f>
      </x:c>
      <x:c r="AF18" s="56" t="str">
        <x:f>IF(AND(AF$5&gt;='任务与甘特'!$T19,AF$5&lt;='任务与甘特'!$U19),"■","")</x:f>
      </x:c>
      <x:c r="AG18" s="56" t="str">
        <x:f>IF(AND(AG$5&gt;='任务与甘特'!$T19,AG$5&lt;='任务与甘特'!$U19),"■","")</x:f>
      </x:c>
      <x:c r="AH18" s="56" t="str">
        <x:f>IF(AND(AH$5&gt;='任务与甘特'!$T19,AH$5&lt;='任务与甘特'!$U19),"■","")</x:f>
      </x:c>
      <x:c r="AI18" s="56" t="str">
        <x:f>IF(AND(AI$5&gt;='任务与甘特'!$T19,AI$5&lt;='任务与甘特'!$U19),"■","")</x:f>
      </x:c>
      <x:c r="AJ18" s="56" t="str">
        <x:f>IF(AND(AJ$5&gt;='任务与甘特'!$T19,AJ$5&lt;='任务与甘特'!$U19),"■","")</x:f>
      </x:c>
      <x:c r="AK18" s="56" t="str">
        <x:f>IF(AND(AK$5&gt;='任务与甘特'!$T19,AK$5&lt;='任务与甘特'!$U19),"■","")</x:f>
      </x:c>
      <x:c r="AL18" s="56" t="str">
        <x:f>IF(AND(AL$5&gt;='任务与甘特'!$T19,AL$5&lt;='任务与甘特'!$U19),"■","")</x:f>
      </x:c>
      <x:c r="AM18" s="56" t="str">
        <x:f>IF(AND(AM$5&gt;='任务与甘特'!$T19,AM$5&lt;='任务与甘特'!$U19),"■","")</x:f>
      </x:c>
      <x:c r="AN18" s="56" t="str">
        <x:f>IF(AND(AN$5&gt;='任务与甘特'!$T19,AN$5&lt;='任务与甘特'!$U19),"■","")</x:f>
      </x:c>
      <x:c r="AO18" s="56" t="str">
        <x:f>IF(AND(AO$5&gt;='任务与甘特'!$T19,AO$5&lt;='任务与甘特'!$U19),"■","")</x:f>
      </x:c>
      <x:c r="AP18" s="56" t="str">
        <x:f>IF(AND(AP$5&gt;='任务与甘特'!$T19,AP$5&lt;='任务与甘特'!$U19),"■","")</x:f>
      </x:c>
    </x:row>
    <x:row r="19" ht="38" customHeight="1">
      <x:c r="A19" s="29" t="str">
        <x:f>'任务与甘特'!A20</x:f>
        <x:v>T3.6</x:v>
      </x:c>
      <x:c r="B19" s="29" t="str">
        <x:f>'任务与甘特'!B20</x:f>
        <x:v>实现市省审核与退回重提</x:v>
      </x:c>
      <x:c r="C19" s="56" t="str">
        <x:f>IF(AND(C$5&gt;='任务与甘特'!$T20,C$5&lt;='任务与甘特'!$U20),"■","")</x:f>
      </x:c>
      <x:c r="D19" s="56" t="str">
        <x:f>IF(AND(D$5&gt;='任务与甘特'!$T20,D$5&lt;='任务与甘特'!$U20),"■","")</x:f>
      </x:c>
      <x:c r="E19" s="56" t="str">
        <x:f>IF(AND(E$5&gt;='任务与甘特'!$T20,E$5&lt;='任务与甘特'!$U20),"■","")</x:f>
      </x:c>
      <x:c r="F19" s="56" t="str">
        <x:f>IF(AND(F$5&gt;='任务与甘特'!$T20,F$5&lt;='任务与甘特'!$U20),"■","")</x:f>
      </x:c>
      <x:c r="G19" s="56" t="str">
        <x:f>IF(AND(G$5&gt;='任务与甘特'!$T20,G$5&lt;='任务与甘特'!$U20),"■","")</x:f>
      </x:c>
      <x:c r="H19" s="56" t="str">
        <x:f>IF(AND(H$5&gt;='任务与甘特'!$T20,H$5&lt;='任务与甘特'!$U20),"■","")</x:f>
      </x:c>
      <x:c r="I19" s="56" t="str">
        <x:f>IF(AND(I$5&gt;='任务与甘特'!$T20,I$5&lt;='任务与甘特'!$U20),"■","")</x:f>
      </x:c>
      <x:c r="J19" s="56" t="str">
        <x:f>IF(AND(J$5&gt;='任务与甘特'!$T20,J$5&lt;='任务与甘特'!$U20),"■","")</x:f>
      </x:c>
      <x:c r="K19" s="56" t="str">
        <x:f>IF(AND(K$5&gt;='任务与甘特'!$T20,K$5&lt;='任务与甘特'!$U20),"■","")</x:f>
      </x:c>
      <x:c r="L19" s="56" t="str">
        <x:f>IF(AND(L$5&gt;='任务与甘特'!$T20,L$5&lt;='任务与甘特'!$U20),"■","")</x:f>
      </x:c>
      <x:c r="M19" s="56" t="str">
        <x:f>IF(AND(M$5&gt;='任务与甘特'!$T20,M$5&lt;='任务与甘特'!$U20),"■","")</x:f>
      </x:c>
      <x:c r="N19" s="56" t="str">
        <x:f>IF(AND(N$5&gt;='任务与甘特'!$T20,N$5&lt;='任务与甘特'!$U20),"■","")</x:f>
      </x:c>
      <x:c r="O19" s="56" t="str">
        <x:f>IF(AND(O$5&gt;='任务与甘特'!$T20,O$5&lt;='任务与甘特'!$U20),"■","")</x:f>
        <x:v>■</x:v>
      </x:c>
      <x:c r="P19" s="56" t="str">
        <x:f>IF(AND(P$5&gt;='任务与甘特'!$T20,P$5&lt;='任务与甘特'!$U20),"■","")</x:f>
        <x:v>■</x:v>
      </x:c>
      <x:c r="Q19" s="56" t="str">
        <x:f>IF(AND(Q$5&gt;='任务与甘特'!$T20,Q$5&lt;='任务与甘特'!$U20),"■","")</x:f>
      </x:c>
      <x:c r="R19" s="56" t="str">
        <x:f>IF(AND(R$5&gt;='任务与甘特'!$T20,R$5&lt;='任务与甘特'!$U20),"■","")</x:f>
      </x:c>
      <x:c r="S19" s="56" t="str">
        <x:f>IF(AND(S$5&gt;='任务与甘特'!$T20,S$5&lt;='任务与甘特'!$U20),"■","")</x:f>
      </x:c>
      <x:c r="T19" s="56" t="str">
        <x:f>IF(AND(T$5&gt;='任务与甘特'!$T20,T$5&lt;='任务与甘特'!$U20),"■","")</x:f>
      </x:c>
      <x:c r="U19" s="56" t="str">
        <x:f>IF(AND(U$5&gt;='任务与甘特'!$T20,U$5&lt;='任务与甘特'!$U20),"■","")</x:f>
      </x:c>
      <x:c r="V19" s="56" t="str">
        <x:f>IF(AND(V$5&gt;='任务与甘特'!$T20,V$5&lt;='任务与甘特'!$U20),"■","")</x:f>
      </x:c>
      <x:c r="W19" s="56" t="str">
        <x:f>IF(AND(W$5&gt;='任务与甘特'!$T20,W$5&lt;='任务与甘特'!$U20),"■","")</x:f>
      </x:c>
      <x:c r="X19" s="56" t="str">
        <x:f>IF(AND(X$5&gt;='任务与甘特'!$T20,X$5&lt;='任务与甘特'!$U20),"■","")</x:f>
      </x:c>
      <x:c r="Y19" s="56" t="str">
        <x:f>IF(AND(Y$5&gt;='任务与甘特'!$T20,Y$5&lt;='任务与甘特'!$U20),"■","")</x:f>
      </x:c>
      <x:c r="Z19" s="56" t="str">
        <x:f>IF(AND(Z$5&gt;='任务与甘特'!$T20,Z$5&lt;='任务与甘特'!$U20),"■","")</x:f>
      </x:c>
      <x:c r="AA19" s="56" t="str">
        <x:f>IF(AND(AA$5&gt;='任务与甘特'!$T20,AA$5&lt;='任务与甘特'!$U20),"■","")</x:f>
      </x:c>
      <x:c r="AB19" s="56" t="str">
        <x:f>IF(AND(AB$5&gt;='任务与甘特'!$T20,AB$5&lt;='任务与甘特'!$U20),"■","")</x:f>
      </x:c>
      <x:c r="AC19" s="56" t="str">
        <x:f>IF(AND(AC$5&gt;='任务与甘特'!$T20,AC$5&lt;='任务与甘特'!$U20),"■","")</x:f>
      </x:c>
      <x:c r="AD19" s="56" t="str">
        <x:f>IF(AND(AD$5&gt;='任务与甘特'!$T20,AD$5&lt;='任务与甘特'!$U20),"■","")</x:f>
      </x:c>
      <x:c r="AE19" s="56" t="str">
        <x:f>IF(AND(AE$5&gt;='任务与甘特'!$T20,AE$5&lt;='任务与甘特'!$U20),"■","")</x:f>
      </x:c>
      <x:c r="AF19" s="56" t="str">
        <x:f>IF(AND(AF$5&gt;='任务与甘特'!$T20,AF$5&lt;='任务与甘特'!$U20),"■","")</x:f>
      </x:c>
      <x:c r="AG19" s="56" t="str">
        <x:f>IF(AND(AG$5&gt;='任务与甘特'!$T20,AG$5&lt;='任务与甘特'!$U20),"■","")</x:f>
      </x:c>
      <x:c r="AH19" s="56" t="str">
        <x:f>IF(AND(AH$5&gt;='任务与甘特'!$T20,AH$5&lt;='任务与甘特'!$U20),"■","")</x:f>
      </x:c>
      <x:c r="AI19" s="56" t="str">
        <x:f>IF(AND(AI$5&gt;='任务与甘特'!$T20,AI$5&lt;='任务与甘特'!$U20),"■","")</x:f>
      </x:c>
      <x:c r="AJ19" s="56" t="str">
        <x:f>IF(AND(AJ$5&gt;='任务与甘特'!$T20,AJ$5&lt;='任务与甘特'!$U20),"■","")</x:f>
      </x:c>
      <x:c r="AK19" s="56" t="str">
        <x:f>IF(AND(AK$5&gt;='任务与甘特'!$T20,AK$5&lt;='任务与甘特'!$U20),"■","")</x:f>
      </x:c>
      <x:c r="AL19" s="56" t="str">
        <x:f>IF(AND(AL$5&gt;='任务与甘特'!$T20,AL$5&lt;='任务与甘特'!$U20),"■","")</x:f>
      </x:c>
      <x:c r="AM19" s="56" t="str">
        <x:f>IF(AND(AM$5&gt;='任务与甘特'!$T20,AM$5&lt;='任务与甘特'!$U20),"■","")</x:f>
      </x:c>
      <x:c r="AN19" s="56" t="str">
        <x:f>IF(AND(AN$5&gt;='任务与甘特'!$T20,AN$5&lt;='任务与甘特'!$U20),"■","")</x:f>
      </x:c>
      <x:c r="AO19" s="56" t="str">
        <x:f>IF(AND(AO$5&gt;='任务与甘特'!$T20,AO$5&lt;='任务与甘特'!$U20),"■","")</x:f>
      </x:c>
      <x:c r="AP19" s="56" t="str">
        <x:f>IF(AND(AP$5&gt;='任务与甘特'!$T20,AP$5&lt;='任务与甘特'!$U20),"■","")</x:f>
      </x:c>
    </x:row>
    <x:row r="20" ht="38" customHeight="1">
      <x:c r="A20" s="29" t="str">
        <x:f>'任务与甘特'!A21</x:f>
        <x:v>T3.7</x:v>
      </x:c>
      <x:c r="B20" s="29" t="str">
        <x:f>'任务与甘特'!B21</x:f>
        <x:v>实现调查期与补报授权</x:v>
      </x:c>
      <x:c r="C20" s="56" t="str">
        <x:f>IF(AND(C$5&gt;='任务与甘特'!$T21,C$5&lt;='任务与甘特'!$U21),"■","")</x:f>
      </x:c>
      <x:c r="D20" s="56" t="str">
        <x:f>IF(AND(D$5&gt;='任务与甘特'!$T21,D$5&lt;='任务与甘特'!$U21),"■","")</x:f>
      </x:c>
      <x:c r="E20" s="56" t="str">
        <x:f>IF(AND(E$5&gt;='任务与甘特'!$T21,E$5&lt;='任务与甘特'!$U21),"■","")</x:f>
      </x:c>
      <x:c r="F20" s="56" t="str">
        <x:f>IF(AND(F$5&gt;='任务与甘特'!$T21,F$5&lt;='任务与甘特'!$U21),"■","")</x:f>
      </x:c>
      <x:c r="G20" s="56" t="str">
        <x:f>IF(AND(G$5&gt;='任务与甘特'!$T21,G$5&lt;='任务与甘特'!$U21),"■","")</x:f>
      </x:c>
      <x:c r="H20" s="56" t="str">
        <x:f>IF(AND(H$5&gt;='任务与甘特'!$T21,H$5&lt;='任务与甘特'!$U21),"■","")</x:f>
      </x:c>
      <x:c r="I20" s="56" t="str">
        <x:f>IF(AND(I$5&gt;='任务与甘特'!$T21,I$5&lt;='任务与甘特'!$U21),"■","")</x:f>
      </x:c>
      <x:c r="J20" s="56" t="str">
        <x:f>IF(AND(J$5&gt;='任务与甘特'!$T21,J$5&lt;='任务与甘特'!$U21),"■","")</x:f>
      </x:c>
      <x:c r="K20" s="56" t="str">
        <x:f>IF(AND(K$5&gt;='任务与甘特'!$T21,K$5&lt;='任务与甘特'!$U21),"■","")</x:f>
      </x:c>
      <x:c r="L20" s="56" t="str">
        <x:f>IF(AND(L$5&gt;='任务与甘特'!$T21,L$5&lt;='任务与甘特'!$U21),"■","")</x:f>
        <x:v>■</x:v>
      </x:c>
      <x:c r="M20" s="56" t="str">
        <x:f>IF(AND(M$5&gt;='任务与甘特'!$T21,M$5&lt;='任务与甘特'!$U21),"■","")</x:f>
        <x:v>■</x:v>
      </x:c>
      <x:c r="N20" s="56" t="str">
        <x:f>IF(AND(N$5&gt;='任务与甘特'!$T21,N$5&lt;='任务与甘特'!$U21),"■","")</x:f>
      </x:c>
      <x:c r="O20" s="56" t="str">
        <x:f>IF(AND(O$5&gt;='任务与甘特'!$T21,O$5&lt;='任务与甘特'!$U21),"■","")</x:f>
      </x:c>
      <x:c r="P20" s="56" t="str">
        <x:f>IF(AND(P$5&gt;='任务与甘特'!$T21,P$5&lt;='任务与甘特'!$U21),"■","")</x:f>
      </x:c>
      <x:c r="Q20" s="56" t="str">
        <x:f>IF(AND(Q$5&gt;='任务与甘特'!$T21,Q$5&lt;='任务与甘特'!$U21),"■","")</x:f>
      </x:c>
      <x:c r="R20" s="56" t="str">
        <x:f>IF(AND(R$5&gt;='任务与甘特'!$T21,R$5&lt;='任务与甘特'!$U21),"■","")</x:f>
      </x:c>
      <x:c r="S20" s="56" t="str">
        <x:f>IF(AND(S$5&gt;='任务与甘特'!$T21,S$5&lt;='任务与甘特'!$U21),"■","")</x:f>
      </x:c>
      <x:c r="T20" s="56" t="str">
        <x:f>IF(AND(T$5&gt;='任务与甘特'!$T21,T$5&lt;='任务与甘特'!$U21),"■","")</x:f>
      </x:c>
      <x:c r="U20" s="56" t="str">
        <x:f>IF(AND(U$5&gt;='任务与甘特'!$T21,U$5&lt;='任务与甘特'!$U21),"■","")</x:f>
      </x:c>
      <x:c r="V20" s="56" t="str">
        <x:f>IF(AND(V$5&gt;='任务与甘特'!$T21,V$5&lt;='任务与甘特'!$U21),"■","")</x:f>
      </x:c>
      <x:c r="W20" s="56" t="str">
        <x:f>IF(AND(W$5&gt;='任务与甘特'!$T21,W$5&lt;='任务与甘特'!$U21),"■","")</x:f>
      </x:c>
      <x:c r="X20" s="56" t="str">
        <x:f>IF(AND(X$5&gt;='任务与甘特'!$T21,X$5&lt;='任务与甘特'!$U21),"■","")</x:f>
      </x:c>
      <x:c r="Y20" s="56" t="str">
        <x:f>IF(AND(Y$5&gt;='任务与甘特'!$T21,Y$5&lt;='任务与甘特'!$U21),"■","")</x:f>
      </x:c>
      <x:c r="Z20" s="56" t="str">
        <x:f>IF(AND(Z$5&gt;='任务与甘特'!$T21,Z$5&lt;='任务与甘特'!$U21),"■","")</x:f>
      </x:c>
      <x:c r="AA20" s="56" t="str">
        <x:f>IF(AND(AA$5&gt;='任务与甘特'!$T21,AA$5&lt;='任务与甘特'!$U21),"■","")</x:f>
      </x:c>
      <x:c r="AB20" s="56" t="str">
        <x:f>IF(AND(AB$5&gt;='任务与甘特'!$T21,AB$5&lt;='任务与甘特'!$U21),"■","")</x:f>
      </x:c>
      <x:c r="AC20" s="56" t="str">
        <x:f>IF(AND(AC$5&gt;='任务与甘特'!$T21,AC$5&lt;='任务与甘特'!$U21),"■","")</x:f>
      </x:c>
      <x:c r="AD20" s="56" t="str">
        <x:f>IF(AND(AD$5&gt;='任务与甘特'!$T21,AD$5&lt;='任务与甘特'!$U21),"■","")</x:f>
      </x:c>
      <x:c r="AE20" s="56" t="str">
        <x:f>IF(AND(AE$5&gt;='任务与甘特'!$T21,AE$5&lt;='任务与甘特'!$U21),"■","")</x:f>
      </x:c>
      <x:c r="AF20" s="56" t="str">
        <x:f>IF(AND(AF$5&gt;='任务与甘特'!$T21,AF$5&lt;='任务与甘特'!$U21),"■","")</x:f>
      </x:c>
      <x:c r="AG20" s="56" t="str">
        <x:f>IF(AND(AG$5&gt;='任务与甘特'!$T21,AG$5&lt;='任务与甘特'!$U21),"■","")</x:f>
      </x:c>
      <x:c r="AH20" s="56" t="str">
        <x:f>IF(AND(AH$5&gt;='任务与甘特'!$T21,AH$5&lt;='任务与甘特'!$U21),"■","")</x:f>
      </x:c>
      <x:c r="AI20" s="56" t="str">
        <x:f>IF(AND(AI$5&gt;='任务与甘特'!$T21,AI$5&lt;='任务与甘特'!$U21),"■","")</x:f>
      </x:c>
      <x:c r="AJ20" s="56" t="str">
        <x:f>IF(AND(AJ$5&gt;='任务与甘特'!$T21,AJ$5&lt;='任务与甘特'!$U21),"■","")</x:f>
      </x:c>
      <x:c r="AK20" s="56" t="str">
        <x:f>IF(AND(AK$5&gt;='任务与甘特'!$T21,AK$5&lt;='任务与甘特'!$U21),"■","")</x:f>
      </x:c>
      <x:c r="AL20" s="56" t="str">
        <x:f>IF(AND(AL$5&gt;='任务与甘特'!$T21,AL$5&lt;='任务与甘特'!$U21),"■","")</x:f>
      </x:c>
      <x:c r="AM20" s="56" t="str">
        <x:f>IF(AND(AM$5&gt;='任务与甘特'!$T21,AM$5&lt;='任务与甘特'!$U21),"■","")</x:f>
      </x:c>
      <x:c r="AN20" s="56" t="str">
        <x:f>IF(AND(AN$5&gt;='任务与甘特'!$T21,AN$5&lt;='任务与甘特'!$U21),"■","")</x:f>
      </x:c>
      <x:c r="AO20" s="56" t="str">
        <x:f>IF(AND(AO$5&gt;='任务与甘特'!$T21,AO$5&lt;='任务与甘特'!$U21),"■","")</x:f>
      </x:c>
      <x:c r="AP20" s="56" t="str">
        <x:f>IF(AND(AP$5&gt;='任务与甘特'!$T21,AP$5&lt;='任务与甘特'!$U21),"■","")</x:f>
      </x:c>
    </x:row>
    <x:row r="21" ht="38" customHeight="1">
      <x:c r="A21" s="29" t="str">
        <x:f>'任务与甘特'!A22</x:f>
        <x:v>T3.8</x:v>
      </x:c>
      <x:c r="B21" s="29" t="str">
        <x:f>'任务与甘特'!B22</x:f>
        <x:v>实现独立修订与撤销链</x:v>
      </x:c>
      <x:c r="C21" s="56" t="str">
        <x:f>IF(AND(C$5&gt;='任务与甘特'!$T22,C$5&lt;='任务与甘特'!$U22),"■","")</x:f>
      </x:c>
      <x:c r="D21" s="56" t="str">
        <x:f>IF(AND(D$5&gt;='任务与甘特'!$T22,D$5&lt;='任务与甘特'!$U22),"■","")</x:f>
      </x:c>
      <x:c r="E21" s="56" t="str">
        <x:f>IF(AND(E$5&gt;='任务与甘特'!$T22,E$5&lt;='任务与甘特'!$U22),"■","")</x:f>
      </x:c>
      <x:c r="F21" s="56" t="str">
        <x:f>IF(AND(F$5&gt;='任务与甘特'!$T22,F$5&lt;='任务与甘特'!$U22),"■","")</x:f>
      </x:c>
      <x:c r="G21" s="56" t="str">
        <x:f>IF(AND(G$5&gt;='任务与甘特'!$T22,G$5&lt;='任务与甘特'!$U22),"■","")</x:f>
      </x:c>
      <x:c r="H21" s="56" t="str">
        <x:f>IF(AND(H$5&gt;='任务与甘特'!$T22,H$5&lt;='任务与甘特'!$U22),"■","")</x:f>
      </x:c>
      <x:c r="I21" s="56" t="str">
        <x:f>IF(AND(I$5&gt;='任务与甘特'!$T22,I$5&lt;='任务与甘特'!$U22),"■","")</x:f>
      </x:c>
      <x:c r="J21" s="56" t="str">
        <x:f>IF(AND(J$5&gt;='任务与甘特'!$T22,J$5&lt;='任务与甘特'!$U22),"■","")</x:f>
      </x:c>
      <x:c r="K21" s="56" t="str">
        <x:f>IF(AND(K$5&gt;='任务与甘特'!$T22,K$5&lt;='任务与甘特'!$U22),"■","")</x:f>
      </x:c>
      <x:c r="L21" s="56" t="str">
        <x:f>IF(AND(L$5&gt;='任务与甘特'!$T22,L$5&lt;='任务与甘特'!$U22),"■","")</x:f>
      </x:c>
      <x:c r="M21" s="56" t="str">
        <x:f>IF(AND(M$5&gt;='任务与甘特'!$T22,M$5&lt;='任务与甘特'!$U22),"■","")</x:f>
      </x:c>
      <x:c r="N21" s="56" t="str">
        <x:f>IF(AND(N$5&gt;='任务与甘特'!$T22,N$5&lt;='任务与甘特'!$U22),"■","")</x:f>
      </x:c>
      <x:c r="O21" s="56" t="str">
        <x:f>IF(AND(O$5&gt;='任务与甘特'!$T22,O$5&lt;='任务与甘特'!$U22),"■","")</x:f>
      </x:c>
      <x:c r="P21" s="56" t="str">
        <x:f>IF(AND(P$5&gt;='任务与甘特'!$T22,P$5&lt;='任务与甘特'!$U22),"■","")</x:f>
      </x:c>
      <x:c r="Q21" s="56" t="str">
        <x:f>IF(AND(Q$5&gt;='任务与甘特'!$T22,Q$5&lt;='任务与甘特'!$U22),"■","")</x:f>
        <x:v>■</x:v>
      </x:c>
      <x:c r="R21" s="56" t="str">
        <x:f>IF(AND(R$5&gt;='任务与甘特'!$T22,R$5&lt;='任务与甘特'!$U22),"■","")</x:f>
        <x:v>■</x:v>
      </x:c>
      <x:c r="S21" s="56" t="str">
        <x:f>IF(AND(S$5&gt;='任务与甘特'!$T22,S$5&lt;='任务与甘特'!$U22),"■","")</x:f>
        <x:v>■</x:v>
      </x:c>
      <x:c r="T21" s="56" t="str">
        <x:f>IF(AND(T$5&gt;='任务与甘特'!$T22,T$5&lt;='任务与甘特'!$U22),"■","")</x:f>
      </x:c>
      <x:c r="U21" s="56" t="str">
        <x:f>IF(AND(U$5&gt;='任务与甘特'!$T22,U$5&lt;='任务与甘特'!$U22),"■","")</x:f>
      </x:c>
      <x:c r="V21" s="56" t="str">
        <x:f>IF(AND(V$5&gt;='任务与甘特'!$T22,V$5&lt;='任务与甘特'!$U22),"■","")</x:f>
      </x:c>
      <x:c r="W21" s="56" t="str">
        <x:f>IF(AND(W$5&gt;='任务与甘特'!$T22,W$5&lt;='任务与甘特'!$U22),"■","")</x:f>
      </x:c>
      <x:c r="X21" s="56" t="str">
        <x:f>IF(AND(X$5&gt;='任务与甘特'!$T22,X$5&lt;='任务与甘特'!$U22),"■","")</x:f>
      </x:c>
      <x:c r="Y21" s="56" t="str">
        <x:f>IF(AND(Y$5&gt;='任务与甘特'!$T22,Y$5&lt;='任务与甘特'!$U22),"■","")</x:f>
      </x:c>
      <x:c r="Z21" s="56" t="str">
        <x:f>IF(AND(Z$5&gt;='任务与甘特'!$T22,Z$5&lt;='任务与甘特'!$U22),"■","")</x:f>
      </x:c>
      <x:c r="AA21" s="56" t="str">
        <x:f>IF(AND(AA$5&gt;='任务与甘特'!$T22,AA$5&lt;='任务与甘特'!$U22),"■","")</x:f>
      </x:c>
      <x:c r="AB21" s="56" t="str">
        <x:f>IF(AND(AB$5&gt;='任务与甘特'!$T22,AB$5&lt;='任务与甘特'!$U22),"■","")</x:f>
      </x:c>
      <x:c r="AC21" s="56" t="str">
        <x:f>IF(AND(AC$5&gt;='任务与甘特'!$T22,AC$5&lt;='任务与甘特'!$U22),"■","")</x:f>
      </x:c>
      <x:c r="AD21" s="56" t="str">
        <x:f>IF(AND(AD$5&gt;='任务与甘特'!$T22,AD$5&lt;='任务与甘特'!$U22),"■","")</x:f>
      </x:c>
      <x:c r="AE21" s="56" t="str">
        <x:f>IF(AND(AE$5&gt;='任务与甘特'!$T22,AE$5&lt;='任务与甘特'!$U22),"■","")</x:f>
      </x:c>
      <x:c r="AF21" s="56" t="str">
        <x:f>IF(AND(AF$5&gt;='任务与甘特'!$T22,AF$5&lt;='任务与甘特'!$U22),"■","")</x:f>
      </x:c>
      <x:c r="AG21" s="56" t="str">
        <x:f>IF(AND(AG$5&gt;='任务与甘特'!$T22,AG$5&lt;='任务与甘特'!$U22),"■","")</x:f>
      </x:c>
      <x:c r="AH21" s="56" t="str">
        <x:f>IF(AND(AH$5&gt;='任务与甘特'!$T22,AH$5&lt;='任务与甘特'!$U22),"■","")</x:f>
      </x:c>
      <x:c r="AI21" s="56" t="str">
        <x:f>IF(AND(AI$5&gt;='任务与甘特'!$T22,AI$5&lt;='任务与甘特'!$U22),"■","")</x:f>
      </x:c>
      <x:c r="AJ21" s="56" t="str">
        <x:f>IF(AND(AJ$5&gt;='任务与甘特'!$T22,AJ$5&lt;='任务与甘特'!$U22),"■","")</x:f>
      </x:c>
      <x:c r="AK21" s="56" t="str">
        <x:f>IF(AND(AK$5&gt;='任务与甘特'!$T22,AK$5&lt;='任务与甘特'!$U22),"■","")</x:f>
      </x:c>
      <x:c r="AL21" s="56" t="str">
        <x:f>IF(AND(AL$5&gt;='任务与甘特'!$T22,AL$5&lt;='任务与甘特'!$U22),"■","")</x:f>
      </x:c>
      <x:c r="AM21" s="56" t="str">
        <x:f>IF(AND(AM$5&gt;='任务与甘特'!$T22,AM$5&lt;='任务与甘特'!$U22),"■","")</x:f>
      </x:c>
      <x:c r="AN21" s="56" t="str">
        <x:f>IF(AND(AN$5&gt;='任务与甘特'!$T22,AN$5&lt;='任务与甘特'!$U22),"■","")</x:f>
      </x:c>
      <x:c r="AO21" s="56" t="str">
        <x:f>IF(AND(AO$5&gt;='任务与甘特'!$T22,AO$5&lt;='任务与甘特'!$U22),"■","")</x:f>
      </x:c>
      <x:c r="AP21" s="56" t="str">
        <x:f>IF(AND(AP$5&gt;='任务与甘特'!$T22,AP$5&lt;='任务与甘特'!$U22),"■","")</x:f>
      </x:c>
    </x:row>
    <x:row r="22" ht="38" customHeight="1">
      <x:c r="A22" s="29" t="str">
        <x:f>'任务与甘特'!A23</x:f>
        <x:v>T3.9</x:v>
      </x:c>
      <x:c r="B22" s="29" t="str">
        <x:f>'任务与甘特'!B23</x:f>
        <x:v>实现历史浏览和快照查询</x:v>
      </x:c>
      <x:c r="C22" s="56" t="str">
        <x:f>IF(AND(C$5&gt;='任务与甘特'!$T23,C$5&lt;='任务与甘特'!$U23),"■","")</x:f>
      </x:c>
      <x:c r="D22" s="56" t="str">
        <x:f>IF(AND(D$5&gt;='任务与甘特'!$T23,D$5&lt;='任务与甘特'!$U23),"■","")</x:f>
      </x:c>
      <x:c r="E22" s="56" t="str">
        <x:f>IF(AND(E$5&gt;='任务与甘特'!$T23,E$5&lt;='任务与甘特'!$U23),"■","")</x:f>
      </x:c>
      <x:c r="F22" s="56" t="str">
        <x:f>IF(AND(F$5&gt;='任务与甘特'!$T23,F$5&lt;='任务与甘特'!$U23),"■","")</x:f>
      </x:c>
      <x:c r="G22" s="56" t="str">
        <x:f>IF(AND(G$5&gt;='任务与甘特'!$T23,G$5&lt;='任务与甘特'!$U23),"■","")</x:f>
      </x:c>
      <x:c r="H22" s="56" t="str">
        <x:f>IF(AND(H$5&gt;='任务与甘特'!$T23,H$5&lt;='任务与甘特'!$U23),"■","")</x:f>
      </x:c>
      <x:c r="I22" s="56" t="str">
        <x:f>IF(AND(I$5&gt;='任务与甘特'!$T23,I$5&lt;='任务与甘特'!$U23),"■","")</x:f>
      </x:c>
      <x:c r="J22" s="56" t="str">
        <x:f>IF(AND(J$5&gt;='任务与甘特'!$T23,J$5&lt;='任务与甘特'!$U23),"■","")</x:f>
      </x:c>
      <x:c r="K22" s="56" t="str">
        <x:f>IF(AND(K$5&gt;='任务与甘特'!$T23,K$5&lt;='任务与甘特'!$U23),"■","")</x:f>
      </x:c>
      <x:c r="L22" s="56" t="str">
        <x:f>IF(AND(L$5&gt;='任务与甘特'!$T23,L$5&lt;='任务与甘特'!$U23),"■","")</x:f>
      </x:c>
      <x:c r="M22" s="56" t="str">
        <x:f>IF(AND(M$5&gt;='任务与甘特'!$T23,M$5&lt;='任务与甘特'!$U23),"■","")</x:f>
      </x:c>
      <x:c r="N22" s="56" t="str">
        <x:f>IF(AND(N$5&gt;='任务与甘特'!$T23,N$5&lt;='任务与甘特'!$U23),"■","")</x:f>
      </x:c>
      <x:c r="O22" s="56" t="str">
        <x:f>IF(AND(O$5&gt;='任务与甘特'!$T23,O$5&lt;='任务与甘特'!$U23),"■","")</x:f>
      </x:c>
      <x:c r="P22" s="56" t="str">
        <x:f>IF(AND(P$5&gt;='任务与甘特'!$T23,P$5&lt;='任务与甘特'!$U23),"■","")</x:f>
      </x:c>
      <x:c r="Q22" s="56" t="str">
        <x:f>IF(AND(Q$5&gt;='任务与甘特'!$T23,Q$5&lt;='任务与甘特'!$U23),"■","")</x:f>
        <x:v>■</x:v>
      </x:c>
      <x:c r="R22" s="56" t="str">
        <x:f>IF(AND(R$5&gt;='任务与甘特'!$T23,R$5&lt;='任务与甘特'!$U23),"■","")</x:f>
        <x:v>■</x:v>
      </x:c>
      <x:c r="S22" s="56" t="str">
        <x:f>IF(AND(S$5&gt;='任务与甘特'!$T23,S$5&lt;='任务与甘特'!$U23),"■","")</x:f>
      </x:c>
      <x:c r="T22" s="56" t="str">
        <x:f>IF(AND(T$5&gt;='任务与甘特'!$T23,T$5&lt;='任务与甘特'!$U23),"■","")</x:f>
      </x:c>
      <x:c r="U22" s="56" t="str">
        <x:f>IF(AND(U$5&gt;='任务与甘特'!$T23,U$5&lt;='任务与甘特'!$U23),"■","")</x:f>
      </x:c>
      <x:c r="V22" s="56" t="str">
        <x:f>IF(AND(V$5&gt;='任务与甘特'!$T23,V$5&lt;='任务与甘特'!$U23),"■","")</x:f>
      </x:c>
      <x:c r="W22" s="56" t="str">
        <x:f>IF(AND(W$5&gt;='任务与甘特'!$T23,W$5&lt;='任务与甘特'!$U23),"■","")</x:f>
      </x:c>
      <x:c r="X22" s="56" t="str">
        <x:f>IF(AND(X$5&gt;='任务与甘特'!$T23,X$5&lt;='任务与甘特'!$U23),"■","")</x:f>
      </x:c>
      <x:c r="Y22" s="56" t="str">
        <x:f>IF(AND(Y$5&gt;='任务与甘特'!$T23,Y$5&lt;='任务与甘特'!$U23),"■","")</x:f>
      </x:c>
      <x:c r="Z22" s="56" t="str">
        <x:f>IF(AND(Z$5&gt;='任务与甘特'!$T23,Z$5&lt;='任务与甘特'!$U23),"■","")</x:f>
      </x:c>
      <x:c r="AA22" s="56" t="str">
        <x:f>IF(AND(AA$5&gt;='任务与甘特'!$T23,AA$5&lt;='任务与甘特'!$U23),"■","")</x:f>
      </x:c>
      <x:c r="AB22" s="56" t="str">
        <x:f>IF(AND(AB$5&gt;='任务与甘特'!$T23,AB$5&lt;='任务与甘特'!$U23),"■","")</x:f>
      </x:c>
      <x:c r="AC22" s="56" t="str">
        <x:f>IF(AND(AC$5&gt;='任务与甘特'!$T23,AC$5&lt;='任务与甘特'!$U23),"■","")</x:f>
      </x:c>
      <x:c r="AD22" s="56" t="str">
        <x:f>IF(AND(AD$5&gt;='任务与甘特'!$T23,AD$5&lt;='任务与甘特'!$U23),"■","")</x:f>
      </x:c>
      <x:c r="AE22" s="56" t="str">
        <x:f>IF(AND(AE$5&gt;='任务与甘特'!$T23,AE$5&lt;='任务与甘特'!$U23),"■","")</x:f>
      </x:c>
      <x:c r="AF22" s="56" t="str">
        <x:f>IF(AND(AF$5&gt;='任务与甘特'!$T23,AF$5&lt;='任务与甘特'!$U23),"■","")</x:f>
      </x:c>
      <x:c r="AG22" s="56" t="str">
        <x:f>IF(AND(AG$5&gt;='任务与甘特'!$T23,AG$5&lt;='任务与甘特'!$U23),"■","")</x:f>
      </x:c>
      <x:c r="AH22" s="56" t="str">
        <x:f>IF(AND(AH$5&gt;='任务与甘特'!$T23,AH$5&lt;='任务与甘特'!$U23),"■","")</x:f>
      </x:c>
      <x:c r="AI22" s="56" t="str">
        <x:f>IF(AND(AI$5&gt;='任务与甘特'!$T23,AI$5&lt;='任务与甘特'!$U23),"■","")</x:f>
      </x:c>
      <x:c r="AJ22" s="56" t="str">
        <x:f>IF(AND(AJ$5&gt;='任务与甘特'!$T23,AJ$5&lt;='任务与甘特'!$U23),"■","")</x:f>
      </x:c>
      <x:c r="AK22" s="56" t="str">
        <x:f>IF(AND(AK$5&gt;='任务与甘特'!$T23,AK$5&lt;='任务与甘特'!$U23),"■","")</x:f>
      </x:c>
      <x:c r="AL22" s="56" t="str">
        <x:f>IF(AND(AL$5&gt;='任务与甘特'!$T23,AL$5&lt;='任务与甘特'!$U23),"■","")</x:f>
      </x:c>
      <x:c r="AM22" s="56" t="str">
        <x:f>IF(AND(AM$5&gt;='任务与甘特'!$T23,AM$5&lt;='任务与甘特'!$U23),"■","")</x:f>
      </x:c>
      <x:c r="AN22" s="56" t="str">
        <x:f>IF(AND(AN$5&gt;='任务与甘特'!$T23,AN$5&lt;='任务与甘特'!$U23),"■","")</x:f>
      </x:c>
      <x:c r="AO22" s="56" t="str">
        <x:f>IF(AND(AO$5&gt;='任务与甘特'!$T23,AO$5&lt;='任务与甘特'!$U23),"■","")</x:f>
      </x:c>
      <x:c r="AP22" s="56" t="str">
        <x:f>IF(AND(AP$5&gt;='任务与甘特'!$T23,AP$5&lt;='任务与甘特'!$U23),"■","")</x:f>
      </x:c>
    </x:row>
    <x:row r="23" ht="38" customHeight="1">
      <x:c r="A23" s="29" t="str">
        <x:f>'任务与甘特'!A24</x:f>
        <x:v>T3.10</x:v>
      </x:c>
      <x:c r="B23" s="29" t="str">
        <x:f>'任务与甘特'!B24</x:f>
        <x:v>实现汇总指标与统计口径</x:v>
      </x:c>
      <x:c r="C23" s="56" t="str">
        <x:f>IF(AND(C$5&gt;='任务与甘特'!$T24,C$5&lt;='任务与甘特'!$U24),"■","")</x:f>
      </x:c>
      <x:c r="D23" s="56" t="str">
        <x:f>IF(AND(D$5&gt;='任务与甘特'!$T24,D$5&lt;='任务与甘特'!$U24),"■","")</x:f>
      </x:c>
      <x:c r="E23" s="56" t="str">
        <x:f>IF(AND(E$5&gt;='任务与甘特'!$T24,E$5&lt;='任务与甘特'!$U24),"■","")</x:f>
      </x:c>
      <x:c r="F23" s="56" t="str">
        <x:f>IF(AND(F$5&gt;='任务与甘特'!$T24,F$5&lt;='任务与甘特'!$U24),"■","")</x:f>
      </x:c>
      <x:c r="G23" s="56" t="str">
        <x:f>IF(AND(G$5&gt;='任务与甘特'!$T24,G$5&lt;='任务与甘特'!$U24),"■","")</x:f>
      </x:c>
      <x:c r="H23" s="56" t="str">
        <x:f>IF(AND(H$5&gt;='任务与甘特'!$T24,H$5&lt;='任务与甘特'!$U24),"■","")</x:f>
      </x:c>
      <x:c r="I23" s="56" t="str">
        <x:f>IF(AND(I$5&gt;='任务与甘特'!$T24,I$5&lt;='任务与甘特'!$U24),"■","")</x:f>
      </x:c>
      <x:c r="J23" s="56" t="str">
        <x:f>IF(AND(J$5&gt;='任务与甘特'!$T24,J$5&lt;='任务与甘特'!$U24),"■","")</x:f>
      </x:c>
      <x:c r="K23" s="56" t="str">
        <x:f>IF(AND(K$5&gt;='任务与甘特'!$T24,K$5&lt;='任务与甘特'!$U24),"■","")</x:f>
      </x:c>
      <x:c r="L23" s="56" t="str">
        <x:f>IF(AND(L$5&gt;='任务与甘特'!$T24,L$5&lt;='任务与甘特'!$U24),"■","")</x:f>
      </x:c>
      <x:c r="M23" s="56" t="str">
        <x:f>IF(AND(M$5&gt;='任务与甘特'!$T24,M$5&lt;='任务与甘特'!$U24),"■","")</x:f>
      </x:c>
      <x:c r="N23" s="56" t="str">
        <x:f>IF(AND(N$5&gt;='任务与甘特'!$T24,N$5&lt;='任务与甘特'!$U24),"■","")</x:f>
      </x:c>
      <x:c r="O23" s="56" t="str">
        <x:f>IF(AND(O$5&gt;='任务与甘特'!$T24,O$5&lt;='任务与甘特'!$U24),"■","")</x:f>
      </x:c>
      <x:c r="P23" s="56" t="str">
        <x:f>IF(AND(P$5&gt;='任务与甘特'!$T24,P$5&lt;='任务与甘特'!$U24),"■","")</x:f>
      </x:c>
      <x:c r="Q23" s="56" t="str">
        <x:f>IF(AND(Q$5&gt;='任务与甘特'!$T24,Q$5&lt;='任务与甘特'!$U24),"■","")</x:f>
      </x:c>
      <x:c r="R23" s="56" t="str">
        <x:f>IF(AND(R$5&gt;='任务与甘特'!$T24,R$5&lt;='任务与甘特'!$U24),"■","")</x:f>
      </x:c>
      <x:c r="S23" s="56" t="str">
        <x:f>IF(AND(S$5&gt;='任务与甘特'!$T24,S$5&lt;='任务与甘特'!$U24),"■","")</x:f>
        <x:v>■</x:v>
      </x:c>
      <x:c r="T23" s="56" t="str">
        <x:f>IF(AND(T$5&gt;='任务与甘特'!$T24,T$5&lt;='任务与甘特'!$U24),"■","")</x:f>
        <x:v>■</x:v>
      </x:c>
      <x:c r="U23" s="56" t="str">
        <x:f>IF(AND(U$5&gt;='任务与甘特'!$T24,U$5&lt;='任务与甘特'!$U24),"■","")</x:f>
      </x:c>
      <x:c r="V23" s="56" t="str">
        <x:f>IF(AND(V$5&gt;='任务与甘特'!$T24,V$5&lt;='任务与甘特'!$U24),"■","")</x:f>
      </x:c>
      <x:c r="W23" s="56" t="str">
        <x:f>IF(AND(W$5&gt;='任务与甘特'!$T24,W$5&lt;='任务与甘特'!$U24),"■","")</x:f>
      </x:c>
      <x:c r="X23" s="56" t="str">
        <x:f>IF(AND(X$5&gt;='任务与甘特'!$T24,X$5&lt;='任务与甘特'!$U24),"■","")</x:f>
      </x:c>
      <x:c r="Y23" s="56" t="str">
        <x:f>IF(AND(Y$5&gt;='任务与甘特'!$T24,Y$5&lt;='任务与甘特'!$U24),"■","")</x:f>
      </x:c>
      <x:c r="Z23" s="56" t="str">
        <x:f>IF(AND(Z$5&gt;='任务与甘特'!$T24,Z$5&lt;='任务与甘特'!$U24),"■","")</x:f>
      </x:c>
      <x:c r="AA23" s="56" t="str">
        <x:f>IF(AND(AA$5&gt;='任务与甘特'!$T24,AA$5&lt;='任务与甘特'!$U24),"■","")</x:f>
      </x:c>
      <x:c r="AB23" s="56" t="str">
        <x:f>IF(AND(AB$5&gt;='任务与甘特'!$T24,AB$5&lt;='任务与甘特'!$U24),"■","")</x:f>
      </x:c>
      <x:c r="AC23" s="56" t="str">
        <x:f>IF(AND(AC$5&gt;='任务与甘特'!$T24,AC$5&lt;='任务与甘特'!$U24),"■","")</x:f>
      </x:c>
      <x:c r="AD23" s="56" t="str">
        <x:f>IF(AND(AD$5&gt;='任务与甘特'!$T24,AD$5&lt;='任务与甘特'!$U24),"■","")</x:f>
      </x:c>
      <x:c r="AE23" s="56" t="str">
        <x:f>IF(AND(AE$5&gt;='任务与甘特'!$T24,AE$5&lt;='任务与甘特'!$U24),"■","")</x:f>
      </x:c>
      <x:c r="AF23" s="56" t="str">
        <x:f>IF(AND(AF$5&gt;='任务与甘特'!$T24,AF$5&lt;='任务与甘特'!$U24),"■","")</x:f>
      </x:c>
      <x:c r="AG23" s="56" t="str">
        <x:f>IF(AND(AG$5&gt;='任务与甘特'!$T24,AG$5&lt;='任务与甘特'!$U24),"■","")</x:f>
      </x:c>
      <x:c r="AH23" s="56" t="str">
        <x:f>IF(AND(AH$5&gt;='任务与甘特'!$T24,AH$5&lt;='任务与甘特'!$U24),"■","")</x:f>
      </x:c>
      <x:c r="AI23" s="56" t="str">
        <x:f>IF(AND(AI$5&gt;='任务与甘特'!$T24,AI$5&lt;='任务与甘特'!$U24),"■","")</x:f>
      </x:c>
      <x:c r="AJ23" s="56" t="str">
        <x:f>IF(AND(AJ$5&gt;='任务与甘特'!$T24,AJ$5&lt;='任务与甘特'!$U24),"■","")</x:f>
      </x:c>
      <x:c r="AK23" s="56" t="str">
        <x:f>IF(AND(AK$5&gt;='任务与甘特'!$T24,AK$5&lt;='任务与甘特'!$U24),"■","")</x:f>
      </x:c>
      <x:c r="AL23" s="56" t="str">
        <x:f>IF(AND(AL$5&gt;='任务与甘特'!$T24,AL$5&lt;='任务与甘特'!$U24),"■","")</x:f>
      </x:c>
      <x:c r="AM23" s="56" t="str">
        <x:f>IF(AND(AM$5&gt;='任务与甘特'!$T24,AM$5&lt;='任务与甘特'!$U24),"■","")</x:f>
      </x:c>
      <x:c r="AN23" s="56" t="str">
        <x:f>IF(AND(AN$5&gt;='任务与甘特'!$T24,AN$5&lt;='任务与甘特'!$U24),"■","")</x:f>
      </x:c>
      <x:c r="AO23" s="56" t="str">
        <x:f>IF(AND(AO$5&gt;='任务与甘特'!$T24,AO$5&lt;='任务与甘特'!$U24),"■","")</x:f>
      </x:c>
      <x:c r="AP23" s="56" t="str">
        <x:f>IF(AND(AP$5&gt;='任务与甘特'!$T24,AP$5&lt;='任务与甘特'!$U24),"■","")</x:f>
      </x:c>
    </x:row>
    <x:row r="24" ht="38" customHeight="1">
      <x:c r="A24" s="29" t="str">
        <x:f>'任务与甘特'!A25</x:f>
        <x:v>T3.11</x:v>
      </x:c>
      <x:c r="B24" s="29" t="str">
        <x:f>'任务与甘特'!B25</x:f>
        <x:v>实现条件查询与XLSX导出</x:v>
      </x:c>
      <x:c r="C24" s="56" t="str">
        <x:f>IF(AND(C$5&gt;='任务与甘特'!$T25,C$5&lt;='任务与甘特'!$U25),"■","")</x:f>
      </x:c>
      <x:c r="D24" s="56" t="str">
        <x:f>IF(AND(D$5&gt;='任务与甘特'!$T25,D$5&lt;='任务与甘特'!$U25),"■","")</x:f>
      </x:c>
      <x:c r="E24" s="56" t="str">
        <x:f>IF(AND(E$5&gt;='任务与甘特'!$T25,E$5&lt;='任务与甘特'!$U25),"■","")</x:f>
      </x:c>
      <x:c r="F24" s="56" t="str">
        <x:f>IF(AND(F$5&gt;='任务与甘特'!$T25,F$5&lt;='任务与甘特'!$U25),"■","")</x:f>
      </x:c>
      <x:c r="G24" s="56" t="str">
        <x:f>IF(AND(G$5&gt;='任务与甘特'!$T25,G$5&lt;='任务与甘特'!$U25),"■","")</x:f>
      </x:c>
      <x:c r="H24" s="56" t="str">
        <x:f>IF(AND(H$5&gt;='任务与甘特'!$T25,H$5&lt;='任务与甘特'!$U25),"■","")</x:f>
      </x:c>
      <x:c r="I24" s="56" t="str">
        <x:f>IF(AND(I$5&gt;='任务与甘特'!$T25,I$5&lt;='任务与甘特'!$U25),"■","")</x:f>
      </x:c>
      <x:c r="J24" s="56" t="str">
        <x:f>IF(AND(J$5&gt;='任务与甘特'!$T25,J$5&lt;='任务与甘特'!$U25),"■","")</x:f>
      </x:c>
      <x:c r="K24" s="56" t="str">
        <x:f>IF(AND(K$5&gt;='任务与甘特'!$T25,K$5&lt;='任务与甘特'!$U25),"■","")</x:f>
      </x:c>
      <x:c r="L24" s="56" t="str">
        <x:f>IF(AND(L$5&gt;='任务与甘特'!$T25,L$5&lt;='任务与甘特'!$U25),"■","")</x:f>
      </x:c>
      <x:c r="M24" s="56" t="str">
        <x:f>IF(AND(M$5&gt;='任务与甘特'!$T25,M$5&lt;='任务与甘特'!$U25),"■","")</x:f>
      </x:c>
      <x:c r="N24" s="56" t="str">
        <x:f>IF(AND(N$5&gt;='任务与甘特'!$T25,N$5&lt;='任务与甘特'!$U25),"■","")</x:f>
      </x:c>
      <x:c r="O24" s="56" t="str">
        <x:f>IF(AND(O$5&gt;='任务与甘特'!$T25,O$5&lt;='任务与甘特'!$U25),"■","")</x:f>
      </x:c>
      <x:c r="P24" s="56" t="str">
        <x:f>IF(AND(P$5&gt;='任务与甘特'!$T25,P$5&lt;='任务与甘特'!$U25),"■","")</x:f>
      </x:c>
      <x:c r="Q24" s="56" t="str">
        <x:f>IF(AND(Q$5&gt;='任务与甘特'!$T25,Q$5&lt;='任务与甘特'!$U25),"■","")</x:f>
      </x:c>
      <x:c r="R24" s="56" t="str">
        <x:f>IF(AND(R$5&gt;='任务与甘特'!$T25,R$5&lt;='任务与甘特'!$U25),"■","")</x:f>
        <x:v>■</x:v>
      </x:c>
      <x:c r="S24" s="56" t="str">
        <x:f>IF(AND(S$5&gt;='任务与甘特'!$T25,S$5&lt;='任务与甘特'!$U25),"■","")</x:f>
        <x:v>■</x:v>
      </x:c>
      <x:c r="T24" s="56" t="str">
        <x:f>IF(AND(T$5&gt;='任务与甘特'!$T25,T$5&lt;='任务与甘特'!$U25),"■","")</x:f>
        <x:v>■</x:v>
      </x:c>
      <x:c r="U24" s="56" t="str">
        <x:f>IF(AND(U$5&gt;='任务与甘特'!$T25,U$5&lt;='任务与甘特'!$U25),"■","")</x:f>
      </x:c>
      <x:c r="V24" s="56" t="str">
        <x:f>IF(AND(V$5&gt;='任务与甘特'!$T25,V$5&lt;='任务与甘特'!$U25),"■","")</x:f>
      </x:c>
      <x:c r="W24" s="56" t="str">
        <x:f>IF(AND(W$5&gt;='任务与甘特'!$T25,W$5&lt;='任务与甘特'!$U25),"■","")</x:f>
      </x:c>
      <x:c r="X24" s="56" t="str">
        <x:f>IF(AND(X$5&gt;='任务与甘特'!$T25,X$5&lt;='任务与甘特'!$U25),"■","")</x:f>
      </x:c>
      <x:c r="Y24" s="56" t="str">
        <x:f>IF(AND(Y$5&gt;='任务与甘特'!$T25,Y$5&lt;='任务与甘特'!$U25),"■","")</x:f>
      </x:c>
      <x:c r="Z24" s="56" t="str">
        <x:f>IF(AND(Z$5&gt;='任务与甘特'!$T25,Z$5&lt;='任务与甘特'!$U25),"■","")</x:f>
      </x:c>
      <x:c r="AA24" s="56" t="str">
        <x:f>IF(AND(AA$5&gt;='任务与甘特'!$T25,AA$5&lt;='任务与甘特'!$U25),"■","")</x:f>
      </x:c>
      <x:c r="AB24" s="56" t="str">
        <x:f>IF(AND(AB$5&gt;='任务与甘特'!$T25,AB$5&lt;='任务与甘特'!$U25),"■","")</x:f>
      </x:c>
      <x:c r="AC24" s="56" t="str">
        <x:f>IF(AND(AC$5&gt;='任务与甘特'!$T25,AC$5&lt;='任务与甘特'!$U25),"■","")</x:f>
      </x:c>
      <x:c r="AD24" s="56" t="str">
        <x:f>IF(AND(AD$5&gt;='任务与甘特'!$T25,AD$5&lt;='任务与甘特'!$U25),"■","")</x:f>
      </x:c>
      <x:c r="AE24" s="56" t="str">
        <x:f>IF(AND(AE$5&gt;='任务与甘特'!$T25,AE$5&lt;='任务与甘特'!$U25),"■","")</x:f>
      </x:c>
      <x:c r="AF24" s="56" t="str">
        <x:f>IF(AND(AF$5&gt;='任务与甘特'!$T25,AF$5&lt;='任务与甘特'!$U25),"■","")</x:f>
      </x:c>
      <x:c r="AG24" s="56" t="str">
        <x:f>IF(AND(AG$5&gt;='任务与甘特'!$T25,AG$5&lt;='任务与甘特'!$U25),"■","")</x:f>
      </x:c>
      <x:c r="AH24" s="56" t="str">
        <x:f>IF(AND(AH$5&gt;='任务与甘特'!$T25,AH$5&lt;='任务与甘特'!$U25),"■","")</x:f>
      </x:c>
      <x:c r="AI24" s="56" t="str">
        <x:f>IF(AND(AI$5&gt;='任务与甘特'!$T25,AI$5&lt;='任务与甘特'!$U25),"■","")</x:f>
      </x:c>
      <x:c r="AJ24" s="56" t="str">
        <x:f>IF(AND(AJ$5&gt;='任务与甘特'!$T25,AJ$5&lt;='任务与甘特'!$U25),"■","")</x:f>
      </x:c>
      <x:c r="AK24" s="56" t="str">
        <x:f>IF(AND(AK$5&gt;='任务与甘特'!$T25,AK$5&lt;='任务与甘特'!$U25),"■","")</x:f>
      </x:c>
      <x:c r="AL24" s="56" t="str">
        <x:f>IF(AND(AL$5&gt;='任务与甘特'!$T25,AL$5&lt;='任务与甘特'!$U25),"■","")</x:f>
      </x:c>
      <x:c r="AM24" s="56" t="str">
        <x:f>IF(AND(AM$5&gt;='任务与甘特'!$T25,AM$5&lt;='任务与甘特'!$U25),"■","")</x:f>
      </x:c>
      <x:c r="AN24" s="56" t="str">
        <x:f>IF(AND(AN$5&gt;='任务与甘特'!$T25,AN$5&lt;='任务与甘特'!$U25),"■","")</x:f>
      </x:c>
      <x:c r="AO24" s="56" t="str">
        <x:f>IF(AND(AO$5&gt;='任务与甘特'!$T25,AO$5&lt;='任务与甘特'!$U25),"■","")</x:f>
      </x:c>
      <x:c r="AP24" s="56" t="str">
        <x:f>IF(AND(AP$5&gt;='任务与甘特'!$T25,AP$5&lt;='任务与甘特'!$U25),"■","")</x:f>
      </x:c>
    </x:row>
    <x:row r="25" ht="38" customHeight="1">
      <x:c r="A25" s="29" t="str">
        <x:f>'任务与甘特'!A26</x:f>
        <x:v>T3.12</x:v>
      </x:c>
      <x:c r="B25" s="29" t="str">
        <x:f>'任务与甘特'!B26</x:f>
        <x:v>实现各市取样与地区筛选</x:v>
      </x:c>
      <x:c r="C25" s="56" t="str">
        <x:f>IF(AND(C$5&gt;='任务与甘特'!$T26,C$5&lt;='任务与甘特'!$U26),"■","")</x:f>
      </x:c>
      <x:c r="D25" s="56" t="str">
        <x:f>IF(AND(D$5&gt;='任务与甘特'!$T26,D$5&lt;='任务与甘特'!$U26),"■","")</x:f>
      </x:c>
      <x:c r="E25" s="56" t="str">
        <x:f>IF(AND(E$5&gt;='任务与甘特'!$T26,E$5&lt;='任务与甘特'!$U26),"■","")</x:f>
      </x:c>
      <x:c r="F25" s="56" t="str">
        <x:f>IF(AND(F$5&gt;='任务与甘特'!$T26,F$5&lt;='任务与甘特'!$U26),"■","")</x:f>
      </x:c>
      <x:c r="G25" s="56" t="str">
        <x:f>IF(AND(G$5&gt;='任务与甘特'!$T26,G$5&lt;='任务与甘特'!$U26),"■","")</x:f>
      </x:c>
      <x:c r="H25" s="56" t="str">
        <x:f>IF(AND(H$5&gt;='任务与甘特'!$T26,H$5&lt;='任务与甘特'!$U26),"■","")</x:f>
      </x:c>
      <x:c r="I25" s="56" t="str">
        <x:f>IF(AND(I$5&gt;='任务与甘特'!$T26,I$5&lt;='任务与甘特'!$U26),"■","")</x:f>
      </x:c>
      <x:c r="J25" s="56" t="str">
        <x:f>IF(AND(J$5&gt;='任务与甘特'!$T26,J$5&lt;='任务与甘特'!$U26),"■","")</x:f>
      </x:c>
      <x:c r="K25" s="56" t="str">
        <x:f>IF(AND(K$5&gt;='任务与甘特'!$T26,K$5&lt;='任务与甘特'!$U26),"■","")</x:f>
      </x:c>
      <x:c r="L25" s="56" t="str">
        <x:f>IF(AND(L$5&gt;='任务与甘特'!$T26,L$5&lt;='任务与甘特'!$U26),"■","")</x:f>
      </x:c>
      <x:c r="M25" s="56" t="str">
        <x:f>IF(AND(M$5&gt;='任务与甘特'!$T26,M$5&lt;='任务与甘特'!$U26),"■","")</x:f>
      </x:c>
      <x:c r="N25" s="56" t="str">
        <x:f>IF(AND(N$5&gt;='任务与甘特'!$T26,N$5&lt;='任务与甘特'!$U26),"■","")</x:f>
      </x:c>
      <x:c r="O25" s="56" t="str">
        <x:f>IF(AND(O$5&gt;='任务与甘特'!$T26,O$5&lt;='任务与甘特'!$U26),"■","")</x:f>
      </x:c>
      <x:c r="P25" s="56" t="str">
        <x:f>IF(AND(P$5&gt;='任务与甘特'!$T26,P$5&lt;='任务与甘特'!$U26),"■","")</x:f>
      </x:c>
      <x:c r="Q25" s="56" t="str">
        <x:f>IF(AND(Q$5&gt;='任务与甘特'!$T26,Q$5&lt;='任务与甘特'!$U26),"■","")</x:f>
      </x:c>
      <x:c r="R25" s="56" t="str">
        <x:f>IF(AND(R$5&gt;='任务与甘特'!$T26,R$5&lt;='任务与甘特'!$U26),"■","")</x:f>
      </x:c>
      <x:c r="S25" s="56" t="str">
        <x:f>IF(AND(S$5&gt;='任务与甘特'!$T26,S$5&lt;='任务与甘特'!$U26),"■","")</x:f>
      </x:c>
      <x:c r="T25" s="56" t="str">
        <x:f>IF(AND(T$5&gt;='任务与甘特'!$T26,T$5&lt;='任务与甘特'!$U26),"■","")</x:f>
      </x:c>
      <x:c r="U25" s="56" t="str">
        <x:f>IF(AND(U$5&gt;='任务与甘特'!$T26,U$5&lt;='任务与甘特'!$U26),"■","")</x:f>
      </x:c>
      <x:c r="V25" s="56" t="str">
        <x:f>IF(AND(V$5&gt;='任务与甘特'!$T26,V$5&lt;='任务与甘特'!$U26),"■","")</x:f>
      </x:c>
      <x:c r="W25" s="56" t="str">
        <x:f>IF(AND(W$5&gt;='任务与甘特'!$T26,W$5&lt;='任务与甘特'!$U26),"■","")</x:f>
      </x:c>
      <x:c r="X25" s="56" t="str">
        <x:f>IF(AND(X$5&gt;='任务与甘特'!$T26,X$5&lt;='任务与甘特'!$U26),"■","")</x:f>
      </x:c>
      <x:c r="Y25" s="56" t="str">
        <x:f>IF(AND(Y$5&gt;='任务与甘特'!$T26,Y$5&lt;='任务与甘特'!$U26),"■","")</x:f>
        <x:v>■</x:v>
      </x:c>
      <x:c r="Z25" s="56" t="str">
        <x:f>IF(AND(Z$5&gt;='任务与甘特'!$T26,Z$5&lt;='任务与甘特'!$U26),"■","")</x:f>
        <x:v>■</x:v>
      </x:c>
      <x:c r="AA25" s="56" t="str">
        <x:f>IF(AND(AA$5&gt;='任务与甘特'!$T26,AA$5&lt;='任务与甘特'!$U26),"■","")</x:f>
      </x:c>
      <x:c r="AB25" s="56" t="str">
        <x:f>IF(AND(AB$5&gt;='任务与甘特'!$T26,AB$5&lt;='任务与甘特'!$U26),"■","")</x:f>
      </x:c>
      <x:c r="AC25" s="56" t="str">
        <x:f>IF(AND(AC$5&gt;='任务与甘特'!$T26,AC$5&lt;='任务与甘特'!$U26),"■","")</x:f>
      </x:c>
      <x:c r="AD25" s="56" t="str">
        <x:f>IF(AND(AD$5&gt;='任务与甘特'!$T26,AD$5&lt;='任务与甘特'!$U26),"■","")</x:f>
      </x:c>
      <x:c r="AE25" s="56" t="str">
        <x:f>IF(AND(AE$5&gt;='任务与甘特'!$T26,AE$5&lt;='任务与甘特'!$U26),"■","")</x:f>
      </x:c>
      <x:c r="AF25" s="56" t="str">
        <x:f>IF(AND(AF$5&gt;='任务与甘特'!$T26,AF$5&lt;='任务与甘特'!$U26),"■","")</x:f>
      </x:c>
      <x:c r="AG25" s="56" t="str">
        <x:f>IF(AND(AG$5&gt;='任务与甘特'!$T26,AG$5&lt;='任务与甘特'!$U26),"■","")</x:f>
      </x:c>
      <x:c r="AH25" s="56" t="str">
        <x:f>IF(AND(AH$5&gt;='任务与甘特'!$T26,AH$5&lt;='任务与甘特'!$U26),"■","")</x:f>
      </x:c>
      <x:c r="AI25" s="56" t="str">
        <x:f>IF(AND(AI$5&gt;='任务与甘特'!$T26,AI$5&lt;='任务与甘特'!$U26),"■","")</x:f>
      </x:c>
      <x:c r="AJ25" s="56" t="str">
        <x:f>IF(AND(AJ$5&gt;='任务与甘特'!$T26,AJ$5&lt;='任务与甘特'!$U26),"■","")</x:f>
      </x:c>
      <x:c r="AK25" s="56" t="str">
        <x:f>IF(AND(AK$5&gt;='任务与甘特'!$T26,AK$5&lt;='任务与甘特'!$U26),"■","")</x:f>
      </x:c>
      <x:c r="AL25" s="56" t="str">
        <x:f>IF(AND(AL$5&gt;='任务与甘特'!$T26,AL$5&lt;='任务与甘特'!$U26),"■","")</x:f>
      </x:c>
      <x:c r="AM25" s="56" t="str">
        <x:f>IF(AND(AM$5&gt;='任务与甘特'!$T26,AM$5&lt;='任务与甘特'!$U26),"■","")</x:f>
      </x:c>
      <x:c r="AN25" s="56" t="str">
        <x:f>IF(AND(AN$5&gt;='任务与甘特'!$T26,AN$5&lt;='任务与甘特'!$U26),"■","")</x:f>
      </x:c>
      <x:c r="AO25" s="56" t="str">
        <x:f>IF(AND(AO$5&gt;='任务与甘特'!$T26,AO$5&lt;='任务与甘特'!$U26),"■","")</x:f>
      </x:c>
      <x:c r="AP25" s="56" t="str">
        <x:f>IF(AND(AP$5&gt;='任务与甘特'!$T26,AP$5&lt;='任务与甘特'!$U26),"■","")</x:f>
      </x:c>
    </x:row>
    <x:row r="26" ht="38" customHeight="1">
      <x:c r="A26" s="29" t="str">
        <x:f>'任务与甘特'!A27</x:f>
        <x:v>T3.13</x:v>
      </x:c>
      <x:c r="B26" s="29" t="str">
        <x:f>'任务与甘特'!B27</x:f>
        <x:v>实现两期比较与连续期趋势</x:v>
      </x:c>
      <x:c r="C26" s="56" t="str">
        <x:f>IF(AND(C$5&gt;='任务与甘特'!$T27,C$5&lt;='任务与甘特'!$U27),"■","")</x:f>
      </x:c>
      <x:c r="D26" s="56" t="str">
        <x:f>IF(AND(D$5&gt;='任务与甘特'!$T27,D$5&lt;='任务与甘特'!$U27),"■","")</x:f>
      </x:c>
      <x:c r="E26" s="56" t="str">
        <x:f>IF(AND(E$5&gt;='任务与甘特'!$T27,E$5&lt;='任务与甘特'!$U27),"■","")</x:f>
      </x:c>
      <x:c r="F26" s="56" t="str">
        <x:f>IF(AND(F$5&gt;='任务与甘特'!$T27,F$5&lt;='任务与甘特'!$U27),"■","")</x:f>
      </x:c>
      <x:c r="G26" s="56" t="str">
        <x:f>IF(AND(G$5&gt;='任务与甘特'!$T27,G$5&lt;='任务与甘特'!$U27),"■","")</x:f>
      </x:c>
      <x:c r="H26" s="56" t="str">
        <x:f>IF(AND(H$5&gt;='任务与甘特'!$T27,H$5&lt;='任务与甘特'!$U27),"■","")</x:f>
      </x:c>
      <x:c r="I26" s="56" t="str">
        <x:f>IF(AND(I$5&gt;='任务与甘特'!$T27,I$5&lt;='任务与甘特'!$U27),"■","")</x:f>
      </x:c>
      <x:c r="J26" s="56" t="str">
        <x:f>IF(AND(J$5&gt;='任务与甘特'!$T27,J$5&lt;='任务与甘特'!$U27),"■","")</x:f>
      </x:c>
      <x:c r="K26" s="56" t="str">
        <x:f>IF(AND(K$5&gt;='任务与甘特'!$T27,K$5&lt;='任务与甘特'!$U27),"■","")</x:f>
      </x:c>
      <x:c r="L26" s="56" t="str">
        <x:f>IF(AND(L$5&gt;='任务与甘特'!$T27,L$5&lt;='任务与甘特'!$U27),"■","")</x:f>
      </x:c>
      <x:c r="M26" s="56" t="str">
        <x:f>IF(AND(M$5&gt;='任务与甘特'!$T27,M$5&lt;='任务与甘特'!$U27),"■","")</x:f>
      </x:c>
      <x:c r="N26" s="56" t="str">
        <x:f>IF(AND(N$5&gt;='任务与甘特'!$T27,N$5&lt;='任务与甘特'!$U27),"■","")</x:f>
      </x:c>
      <x:c r="O26" s="56" t="str">
        <x:f>IF(AND(O$5&gt;='任务与甘特'!$T27,O$5&lt;='任务与甘特'!$U27),"■","")</x:f>
      </x:c>
      <x:c r="P26" s="56" t="str">
        <x:f>IF(AND(P$5&gt;='任务与甘特'!$T27,P$5&lt;='任务与甘特'!$U27),"■","")</x:f>
      </x:c>
      <x:c r="Q26" s="56" t="str">
        <x:f>IF(AND(Q$5&gt;='任务与甘特'!$T27,Q$5&lt;='任务与甘特'!$U27),"■","")</x:f>
      </x:c>
      <x:c r="R26" s="56" t="str">
        <x:f>IF(AND(R$5&gt;='任务与甘特'!$T27,R$5&lt;='任务与甘特'!$U27),"■","")</x:f>
      </x:c>
      <x:c r="S26" s="56" t="str">
        <x:f>IF(AND(S$5&gt;='任务与甘特'!$T27,S$5&lt;='任务与甘特'!$U27),"■","")</x:f>
      </x:c>
      <x:c r="T26" s="56" t="str">
        <x:f>IF(AND(T$5&gt;='任务与甘特'!$T27,T$5&lt;='任务与甘特'!$U27),"■","")</x:f>
      </x:c>
      <x:c r="U26" s="56" t="str">
        <x:f>IF(AND(U$5&gt;='任务与甘特'!$T27,U$5&lt;='任务与甘特'!$U27),"■","")</x:f>
      </x:c>
      <x:c r="V26" s="56" t="str">
        <x:f>IF(AND(V$5&gt;='任务与甘特'!$T27,V$5&lt;='任务与甘特'!$U27),"■","")</x:f>
      </x:c>
      <x:c r="W26" s="56" t="str">
        <x:f>IF(AND(W$5&gt;='任务与甘特'!$T27,W$5&lt;='任务与甘特'!$U27),"■","")</x:f>
      </x:c>
      <x:c r="X26" s="56" t="str">
        <x:f>IF(AND(X$5&gt;='任务与甘特'!$T27,X$5&lt;='任务与甘特'!$U27),"■","")</x:f>
        <x:v>■</x:v>
      </x:c>
      <x:c r="Y26" s="56" t="str">
        <x:f>IF(AND(Y$5&gt;='任务与甘特'!$T27,Y$5&lt;='任务与甘特'!$U27),"■","")</x:f>
        <x:v>■</x:v>
      </x:c>
      <x:c r="Z26" s="56" t="str">
        <x:f>IF(AND(Z$5&gt;='任务与甘特'!$T27,Z$5&lt;='任务与甘特'!$U27),"■","")</x:f>
        <x:v>■</x:v>
      </x:c>
      <x:c r="AA26" s="56" t="str">
        <x:f>IF(AND(AA$5&gt;='任务与甘特'!$T27,AA$5&lt;='任务与甘特'!$U27),"■","")</x:f>
      </x:c>
      <x:c r="AB26" s="56" t="str">
        <x:f>IF(AND(AB$5&gt;='任务与甘特'!$T27,AB$5&lt;='任务与甘特'!$U27),"■","")</x:f>
      </x:c>
      <x:c r="AC26" s="56" t="str">
        <x:f>IF(AND(AC$5&gt;='任务与甘特'!$T27,AC$5&lt;='任务与甘特'!$U27),"■","")</x:f>
      </x:c>
      <x:c r="AD26" s="56" t="str">
        <x:f>IF(AND(AD$5&gt;='任务与甘特'!$T27,AD$5&lt;='任务与甘特'!$U27),"■","")</x:f>
      </x:c>
      <x:c r="AE26" s="56" t="str">
        <x:f>IF(AND(AE$5&gt;='任务与甘特'!$T27,AE$5&lt;='任务与甘特'!$U27),"■","")</x:f>
      </x:c>
      <x:c r="AF26" s="56" t="str">
        <x:f>IF(AND(AF$5&gt;='任务与甘特'!$T27,AF$5&lt;='任务与甘特'!$U27),"■","")</x:f>
      </x:c>
      <x:c r="AG26" s="56" t="str">
        <x:f>IF(AND(AG$5&gt;='任务与甘特'!$T27,AG$5&lt;='任务与甘特'!$U27),"■","")</x:f>
      </x:c>
      <x:c r="AH26" s="56" t="str">
        <x:f>IF(AND(AH$5&gt;='任务与甘特'!$T27,AH$5&lt;='任务与甘特'!$U27),"■","")</x:f>
      </x:c>
      <x:c r="AI26" s="56" t="str">
        <x:f>IF(AND(AI$5&gt;='任务与甘特'!$T27,AI$5&lt;='任务与甘特'!$U27),"■","")</x:f>
      </x:c>
      <x:c r="AJ26" s="56" t="str">
        <x:f>IF(AND(AJ$5&gt;='任务与甘特'!$T27,AJ$5&lt;='任务与甘特'!$U27),"■","")</x:f>
      </x:c>
      <x:c r="AK26" s="56" t="str">
        <x:f>IF(AND(AK$5&gt;='任务与甘特'!$T27,AK$5&lt;='任务与甘特'!$U27),"■","")</x:f>
      </x:c>
      <x:c r="AL26" s="56" t="str">
        <x:f>IF(AND(AL$5&gt;='任务与甘特'!$T27,AL$5&lt;='任务与甘特'!$U27),"■","")</x:f>
      </x:c>
      <x:c r="AM26" s="56" t="str">
        <x:f>IF(AND(AM$5&gt;='任务与甘特'!$T27,AM$5&lt;='任务与甘特'!$U27),"■","")</x:f>
      </x:c>
      <x:c r="AN26" s="56" t="str">
        <x:f>IF(AND(AN$5&gt;='任务与甘特'!$T27,AN$5&lt;='任务与甘特'!$U27),"■","")</x:f>
      </x:c>
      <x:c r="AO26" s="56" t="str">
        <x:f>IF(AND(AO$5&gt;='任务与甘特'!$T27,AO$5&lt;='任务与甘特'!$U27),"■","")</x:f>
      </x:c>
      <x:c r="AP26" s="56" t="str">
        <x:f>IF(AND(AP$5&gt;='任务与甘特'!$T27,AP$5&lt;='任务与甘特'!$U27),"■","")</x:f>
      </x:c>
    </x:row>
    <x:row r="27" ht="38" customHeight="1">
      <x:c r="A27" s="29" t="str">
        <x:f>'任务与甘特'!A28</x:f>
        <x:v>T3.14</x:v>
      </x:c>
      <x:c r="B27" s="29" t="str">
        <x:f>'任务与甘特'!B28</x:f>
        <x:v>实现通知与用户管理界面</x:v>
      </x:c>
      <x:c r="C27" s="56" t="str">
        <x:f>IF(AND(C$5&gt;='任务与甘特'!$T28,C$5&lt;='任务与甘特'!$U28),"■","")</x:f>
      </x:c>
      <x:c r="D27" s="56" t="str">
        <x:f>IF(AND(D$5&gt;='任务与甘特'!$T28,D$5&lt;='任务与甘特'!$U28),"■","")</x:f>
      </x:c>
      <x:c r="E27" s="56" t="str">
        <x:f>IF(AND(E$5&gt;='任务与甘特'!$T28,E$5&lt;='任务与甘特'!$U28),"■","")</x:f>
      </x:c>
      <x:c r="F27" s="56" t="str">
        <x:f>IF(AND(F$5&gt;='任务与甘特'!$T28,F$5&lt;='任务与甘特'!$U28),"■","")</x:f>
      </x:c>
      <x:c r="G27" s="56" t="str">
        <x:f>IF(AND(G$5&gt;='任务与甘特'!$T28,G$5&lt;='任务与甘特'!$U28),"■","")</x:f>
      </x:c>
      <x:c r="H27" s="56" t="str">
        <x:f>IF(AND(H$5&gt;='任务与甘特'!$T28,H$5&lt;='任务与甘特'!$U28),"■","")</x:f>
      </x:c>
      <x:c r="I27" s="56" t="str">
        <x:f>IF(AND(I$5&gt;='任务与甘特'!$T28,I$5&lt;='任务与甘特'!$U28),"■","")</x:f>
      </x:c>
      <x:c r="J27" s="56" t="str">
        <x:f>IF(AND(J$5&gt;='任务与甘特'!$T28,J$5&lt;='任务与甘特'!$U28),"■","")</x:f>
      </x:c>
      <x:c r="K27" s="56" t="str">
        <x:f>IF(AND(K$5&gt;='任务与甘特'!$T28,K$5&lt;='任务与甘特'!$U28),"■","")</x:f>
      </x:c>
      <x:c r="L27" s="56" t="str">
        <x:f>IF(AND(L$5&gt;='任务与甘特'!$T28,L$5&lt;='任务与甘特'!$U28),"■","")</x:f>
      </x:c>
      <x:c r="M27" s="56" t="str">
        <x:f>IF(AND(M$5&gt;='任务与甘特'!$T28,M$5&lt;='任务与甘特'!$U28),"■","")</x:f>
      </x:c>
      <x:c r="N27" s="56" t="str">
        <x:f>IF(AND(N$5&gt;='任务与甘特'!$T28,N$5&lt;='任务与甘特'!$U28),"■","")</x:f>
      </x:c>
      <x:c r="O27" s="56" t="str">
        <x:f>IF(AND(O$5&gt;='任务与甘特'!$T28,O$5&lt;='任务与甘特'!$U28),"■","")</x:f>
      </x:c>
      <x:c r="P27" s="56" t="str">
        <x:f>IF(AND(P$5&gt;='任务与甘特'!$T28,P$5&lt;='任务与甘特'!$U28),"■","")</x:f>
      </x:c>
      <x:c r="Q27" s="56" t="str">
        <x:f>IF(AND(Q$5&gt;='任务与甘特'!$T28,Q$5&lt;='任务与甘特'!$U28),"■","")</x:f>
      </x:c>
      <x:c r="R27" s="56" t="str">
        <x:f>IF(AND(R$5&gt;='任务与甘特'!$T28,R$5&lt;='任务与甘特'!$U28),"■","")</x:f>
      </x:c>
      <x:c r="S27" s="56" t="str">
        <x:f>IF(AND(S$5&gt;='任务与甘特'!$T28,S$5&lt;='任务与甘特'!$U28),"■","")</x:f>
      </x:c>
      <x:c r="T27" s="56" t="str">
        <x:f>IF(AND(T$5&gt;='任务与甘特'!$T28,T$5&lt;='任务与甘特'!$U28),"■","")</x:f>
      </x:c>
      <x:c r="U27" s="56" t="str">
        <x:f>IF(AND(U$5&gt;='任务与甘特'!$T28,U$5&lt;='任务与甘特'!$U28),"■","")</x:f>
      </x:c>
      <x:c r="V27" s="56" t="str">
        <x:f>IF(AND(V$5&gt;='任务与甘特'!$T28,V$5&lt;='任务与甘特'!$U28),"■","")</x:f>
      </x:c>
      <x:c r="W27" s="56" t="str">
        <x:f>IF(AND(W$5&gt;='任务与甘特'!$T28,W$5&lt;='任务与甘特'!$U28),"■","")</x:f>
        <x:v>■</x:v>
      </x:c>
      <x:c r="X27" s="56" t="str">
        <x:f>IF(AND(X$5&gt;='任务与甘特'!$T28,X$5&lt;='任务与甘特'!$U28),"■","")</x:f>
        <x:v>■</x:v>
      </x:c>
      <x:c r="Y27" s="56" t="str">
        <x:f>IF(AND(Y$5&gt;='任务与甘特'!$T28,Y$5&lt;='任务与甘特'!$U28),"■","")</x:f>
      </x:c>
      <x:c r="Z27" s="56" t="str">
        <x:f>IF(AND(Z$5&gt;='任务与甘特'!$T28,Z$5&lt;='任务与甘特'!$U28),"■","")</x:f>
      </x:c>
      <x:c r="AA27" s="56" t="str">
        <x:f>IF(AND(AA$5&gt;='任务与甘特'!$T28,AA$5&lt;='任务与甘特'!$U28),"■","")</x:f>
      </x:c>
      <x:c r="AB27" s="56" t="str">
        <x:f>IF(AND(AB$5&gt;='任务与甘特'!$T28,AB$5&lt;='任务与甘特'!$U28),"■","")</x:f>
      </x:c>
      <x:c r="AC27" s="56" t="str">
        <x:f>IF(AND(AC$5&gt;='任务与甘特'!$T28,AC$5&lt;='任务与甘特'!$U28),"■","")</x:f>
      </x:c>
      <x:c r="AD27" s="56" t="str">
        <x:f>IF(AND(AD$5&gt;='任务与甘特'!$T28,AD$5&lt;='任务与甘特'!$U28),"■","")</x:f>
      </x:c>
      <x:c r="AE27" s="56" t="str">
        <x:f>IF(AND(AE$5&gt;='任务与甘特'!$T28,AE$5&lt;='任务与甘特'!$U28),"■","")</x:f>
      </x:c>
      <x:c r="AF27" s="56" t="str">
        <x:f>IF(AND(AF$5&gt;='任务与甘特'!$T28,AF$5&lt;='任务与甘特'!$U28),"■","")</x:f>
      </x:c>
      <x:c r="AG27" s="56" t="str">
        <x:f>IF(AND(AG$5&gt;='任务与甘特'!$T28,AG$5&lt;='任务与甘特'!$U28),"■","")</x:f>
      </x:c>
      <x:c r="AH27" s="56" t="str">
        <x:f>IF(AND(AH$5&gt;='任务与甘特'!$T28,AH$5&lt;='任务与甘特'!$U28),"■","")</x:f>
      </x:c>
      <x:c r="AI27" s="56" t="str">
        <x:f>IF(AND(AI$5&gt;='任务与甘特'!$T28,AI$5&lt;='任务与甘特'!$U28),"■","")</x:f>
      </x:c>
      <x:c r="AJ27" s="56" t="str">
        <x:f>IF(AND(AJ$5&gt;='任务与甘特'!$T28,AJ$5&lt;='任务与甘特'!$U28),"■","")</x:f>
      </x:c>
      <x:c r="AK27" s="56" t="str">
        <x:f>IF(AND(AK$5&gt;='任务与甘特'!$T28,AK$5&lt;='任务与甘特'!$U28),"■","")</x:f>
      </x:c>
      <x:c r="AL27" s="56" t="str">
        <x:f>IF(AND(AL$5&gt;='任务与甘特'!$T28,AL$5&lt;='任务与甘特'!$U28),"■","")</x:f>
      </x:c>
      <x:c r="AM27" s="56" t="str">
        <x:f>IF(AND(AM$5&gt;='任务与甘特'!$T28,AM$5&lt;='任务与甘特'!$U28),"■","")</x:f>
      </x:c>
      <x:c r="AN27" s="56" t="str">
        <x:f>IF(AND(AN$5&gt;='任务与甘特'!$T28,AN$5&lt;='任务与甘特'!$U28),"■","")</x:f>
      </x:c>
      <x:c r="AO27" s="56" t="str">
        <x:f>IF(AND(AO$5&gt;='任务与甘特'!$T28,AO$5&lt;='任务与甘特'!$U28),"■","")</x:f>
      </x:c>
      <x:c r="AP27" s="56" t="str">
        <x:f>IF(AND(AP$5&gt;='任务与甘特'!$T28,AP$5&lt;='任务与甘特'!$U28),"■","")</x:f>
      </x:c>
    </x:row>
    <x:row r="28" ht="38" customHeight="1">
      <x:c r="A28" s="29" t="str">
        <x:f>'任务与甘特'!A29</x:f>
        <x:v>T3.15</x:v>
      </x:c>
      <x:c r="B28" s="29" t="str">
        <x:f>'任务与甘特'!B29</x:f>
        <x:v>实现删除恢复、脱敏与审计</x:v>
      </x:c>
      <x:c r="C28" s="56" t="str">
        <x:f>IF(AND(C$5&gt;='任务与甘特'!$T29,C$5&lt;='任务与甘特'!$U29),"■","")</x:f>
      </x:c>
      <x:c r="D28" s="56" t="str">
        <x:f>IF(AND(D$5&gt;='任务与甘特'!$T29,D$5&lt;='任务与甘特'!$U29),"■","")</x:f>
      </x:c>
      <x:c r="E28" s="56" t="str">
        <x:f>IF(AND(E$5&gt;='任务与甘特'!$T29,E$5&lt;='任务与甘特'!$U29),"■","")</x:f>
      </x:c>
      <x:c r="F28" s="56" t="str">
        <x:f>IF(AND(F$5&gt;='任务与甘特'!$T29,F$5&lt;='任务与甘特'!$U29),"■","")</x:f>
      </x:c>
      <x:c r="G28" s="56" t="str">
        <x:f>IF(AND(G$5&gt;='任务与甘特'!$T29,G$5&lt;='任务与甘特'!$U29),"■","")</x:f>
      </x:c>
      <x:c r="H28" s="56" t="str">
        <x:f>IF(AND(H$5&gt;='任务与甘特'!$T29,H$5&lt;='任务与甘特'!$U29),"■","")</x:f>
      </x:c>
      <x:c r="I28" s="56" t="str">
        <x:f>IF(AND(I$5&gt;='任务与甘特'!$T29,I$5&lt;='任务与甘特'!$U29),"■","")</x:f>
      </x:c>
      <x:c r="J28" s="56" t="str">
        <x:f>IF(AND(J$5&gt;='任务与甘特'!$T29,J$5&lt;='任务与甘特'!$U29),"■","")</x:f>
      </x:c>
      <x:c r="K28" s="56" t="str">
        <x:f>IF(AND(K$5&gt;='任务与甘特'!$T29,K$5&lt;='任务与甘特'!$U29),"■","")</x:f>
      </x:c>
      <x:c r="L28" s="56" t="str">
        <x:f>IF(AND(L$5&gt;='任务与甘特'!$T29,L$5&lt;='任务与甘特'!$U29),"■","")</x:f>
      </x:c>
      <x:c r="M28" s="56" t="str">
        <x:f>IF(AND(M$5&gt;='任务与甘特'!$T29,M$5&lt;='任务与甘特'!$U29),"■","")</x:f>
      </x:c>
      <x:c r="N28" s="56" t="str">
        <x:f>IF(AND(N$5&gt;='任务与甘特'!$T29,N$5&lt;='任务与甘特'!$U29),"■","")</x:f>
      </x:c>
      <x:c r="O28" s="56" t="str">
        <x:f>IF(AND(O$5&gt;='任务与甘特'!$T29,O$5&lt;='任务与甘特'!$U29),"■","")</x:f>
      </x:c>
      <x:c r="P28" s="56" t="str">
        <x:f>IF(AND(P$5&gt;='任务与甘特'!$T29,P$5&lt;='任务与甘特'!$U29),"■","")</x:f>
      </x:c>
      <x:c r="Q28" s="56" t="str">
        <x:f>IF(AND(Q$5&gt;='任务与甘特'!$T29,Q$5&lt;='任务与甘特'!$U29),"■","")</x:f>
      </x:c>
      <x:c r="R28" s="56" t="str">
        <x:f>IF(AND(R$5&gt;='任务与甘特'!$T29,R$5&lt;='任务与甘特'!$U29),"■","")</x:f>
      </x:c>
      <x:c r="S28" s="56" t="str">
        <x:f>IF(AND(S$5&gt;='任务与甘特'!$T29,S$5&lt;='任务与甘特'!$U29),"■","")</x:f>
      </x:c>
      <x:c r="T28" s="56" t="str">
        <x:f>IF(AND(T$5&gt;='任务与甘特'!$T29,T$5&lt;='任务与甘特'!$U29),"■","")</x:f>
        <x:v>■</x:v>
      </x:c>
      <x:c r="U28" s="56" t="str">
        <x:f>IF(AND(U$5&gt;='任务与甘特'!$T29,U$5&lt;='任务与甘特'!$U29),"■","")</x:f>
        <x:v>■</x:v>
      </x:c>
      <x:c r="V28" s="56" t="str">
        <x:f>IF(AND(V$5&gt;='任务与甘特'!$T29,V$5&lt;='任务与甘特'!$U29),"■","")</x:f>
        <x:v>■</x:v>
      </x:c>
      <x:c r="W28" s="56" t="str">
        <x:f>IF(AND(W$5&gt;='任务与甘特'!$T29,W$5&lt;='任务与甘特'!$U29),"■","")</x:f>
      </x:c>
      <x:c r="X28" s="56" t="str">
        <x:f>IF(AND(X$5&gt;='任务与甘特'!$T29,X$5&lt;='任务与甘特'!$U29),"■","")</x:f>
      </x:c>
      <x:c r="Y28" s="56" t="str">
        <x:f>IF(AND(Y$5&gt;='任务与甘特'!$T29,Y$5&lt;='任务与甘特'!$U29),"■","")</x:f>
      </x:c>
      <x:c r="Z28" s="56" t="str">
        <x:f>IF(AND(Z$5&gt;='任务与甘特'!$T29,Z$5&lt;='任务与甘特'!$U29),"■","")</x:f>
      </x:c>
      <x:c r="AA28" s="56" t="str">
        <x:f>IF(AND(AA$5&gt;='任务与甘特'!$T29,AA$5&lt;='任务与甘特'!$U29),"■","")</x:f>
      </x:c>
      <x:c r="AB28" s="56" t="str">
        <x:f>IF(AND(AB$5&gt;='任务与甘特'!$T29,AB$5&lt;='任务与甘特'!$U29),"■","")</x:f>
      </x:c>
      <x:c r="AC28" s="56" t="str">
        <x:f>IF(AND(AC$5&gt;='任务与甘特'!$T29,AC$5&lt;='任务与甘特'!$U29),"■","")</x:f>
      </x:c>
      <x:c r="AD28" s="56" t="str">
        <x:f>IF(AND(AD$5&gt;='任务与甘特'!$T29,AD$5&lt;='任务与甘特'!$U29),"■","")</x:f>
      </x:c>
      <x:c r="AE28" s="56" t="str">
        <x:f>IF(AND(AE$5&gt;='任务与甘特'!$T29,AE$5&lt;='任务与甘特'!$U29),"■","")</x:f>
      </x:c>
      <x:c r="AF28" s="56" t="str">
        <x:f>IF(AND(AF$5&gt;='任务与甘特'!$T29,AF$5&lt;='任务与甘特'!$U29),"■","")</x:f>
      </x:c>
      <x:c r="AG28" s="56" t="str">
        <x:f>IF(AND(AG$5&gt;='任务与甘特'!$T29,AG$5&lt;='任务与甘特'!$U29),"■","")</x:f>
      </x:c>
      <x:c r="AH28" s="56" t="str">
        <x:f>IF(AND(AH$5&gt;='任务与甘特'!$T29,AH$5&lt;='任务与甘特'!$U29),"■","")</x:f>
      </x:c>
      <x:c r="AI28" s="56" t="str">
        <x:f>IF(AND(AI$5&gt;='任务与甘特'!$T29,AI$5&lt;='任务与甘特'!$U29),"■","")</x:f>
      </x:c>
      <x:c r="AJ28" s="56" t="str">
        <x:f>IF(AND(AJ$5&gt;='任务与甘特'!$T29,AJ$5&lt;='任务与甘特'!$U29),"■","")</x:f>
      </x:c>
      <x:c r="AK28" s="56" t="str">
        <x:f>IF(AND(AK$5&gt;='任务与甘特'!$T29,AK$5&lt;='任务与甘特'!$U29),"■","")</x:f>
      </x:c>
      <x:c r="AL28" s="56" t="str">
        <x:f>IF(AND(AL$5&gt;='任务与甘特'!$T29,AL$5&lt;='任务与甘特'!$U29),"■","")</x:f>
      </x:c>
      <x:c r="AM28" s="56" t="str">
        <x:f>IF(AND(AM$5&gt;='任务与甘特'!$T29,AM$5&lt;='任务与甘特'!$U29),"■","")</x:f>
      </x:c>
      <x:c r="AN28" s="56" t="str">
        <x:f>IF(AND(AN$5&gt;='任务与甘特'!$T29,AN$5&lt;='任务与甘特'!$U29),"■","")</x:f>
      </x:c>
      <x:c r="AO28" s="56" t="str">
        <x:f>IF(AND(AO$5&gt;='任务与甘特'!$T29,AO$5&lt;='任务与甘特'!$U29),"■","")</x:f>
      </x:c>
      <x:c r="AP28" s="56" t="str">
        <x:f>IF(AND(AP$5&gt;='任务与甘特'!$T29,AP$5&lt;='任务与甘特'!$U29),"■","")</x:f>
      </x:c>
    </x:row>
    <x:row r="29" ht="38" customHeight="1">
      <x:c r="A29" s="29" t="str">
        <x:f>'任务与甘特'!A30</x:f>
        <x:v>T3.16</x:v>
      </x:c>
      <x:c r="B29" s="29" t="str">
        <x:f>'任务与甘特'!B30</x:f>
        <x:v>实现运行监控与指标采集</x:v>
      </x:c>
      <x:c r="C29" s="56" t="str">
        <x:f>IF(AND(C$5&gt;='任务与甘特'!$T30,C$5&lt;='任务与甘特'!$U30),"■","")</x:f>
      </x:c>
      <x:c r="D29" s="56" t="str">
        <x:f>IF(AND(D$5&gt;='任务与甘特'!$T30,D$5&lt;='任务与甘特'!$U30),"■","")</x:f>
      </x:c>
      <x:c r="E29" s="56" t="str">
        <x:f>IF(AND(E$5&gt;='任务与甘特'!$T30,E$5&lt;='任务与甘特'!$U30),"■","")</x:f>
      </x:c>
      <x:c r="F29" s="56" t="str">
        <x:f>IF(AND(F$5&gt;='任务与甘特'!$T30,F$5&lt;='任务与甘特'!$U30),"■","")</x:f>
      </x:c>
      <x:c r="G29" s="56" t="str">
        <x:f>IF(AND(G$5&gt;='任务与甘特'!$T30,G$5&lt;='任务与甘特'!$U30),"■","")</x:f>
      </x:c>
      <x:c r="H29" s="56" t="str">
        <x:f>IF(AND(H$5&gt;='任务与甘特'!$T30,H$5&lt;='任务与甘特'!$U30),"■","")</x:f>
      </x:c>
      <x:c r="I29" s="56" t="str">
        <x:f>IF(AND(I$5&gt;='任务与甘特'!$T30,I$5&lt;='任务与甘特'!$U30),"■","")</x:f>
      </x:c>
      <x:c r="J29" s="56" t="str">
        <x:f>IF(AND(J$5&gt;='任务与甘特'!$T30,J$5&lt;='任务与甘特'!$U30),"■","")</x:f>
      </x:c>
      <x:c r="K29" s="56" t="str">
        <x:f>IF(AND(K$5&gt;='任务与甘特'!$T30,K$5&lt;='任务与甘特'!$U30),"■","")</x:f>
      </x:c>
      <x:c r="L29" s="56" t="str">
        <x:f>IF(AND(L$5&gt;='任务与甘特'!$T30,L$5&lt;='任务与甘特'!$U30),"■","")</x:f>
        <x:v>■</x:v>
      </x:c>
      <x:c r="M29" s="56" t="str">
        <x:f>IF(AND(M$5&gt;='任务与甘特'!$T30,M$5&lt;='任务与甘特'!$U30),"■","")</x:f>
        <x:v>■</x:v>
      </x:c>
      <x:c r="N29" s="56" t="str">
        <x:f>IF(AND(N$5&gt;='任务与甘特'!$T30,N$5&lt;='任务与甘特'!$U30),"■","")</x:f>
      </x:c>
      <x:c r="O29" s="56" t="str">
        <x:f>IF(AND(O$5&gt;='任务与甘特'!$T30,O$5&lt;='任务与甘特'!$U30),"■","")</x:f>
      </x:c>
      <x:c r="P29" s="56" t="str">
        <x:f>IF(AND(P$5&gt;='任务与甘特'!$T30,P$5&lt;='任务与甘特'!$U30),"■","")</x:f>
      </x:c>
      <x:c r="Q29" s="56" t="str">
        <x:f>IF(AND(Q$5&gt;='任务与甘特'!$T30,Q$5&lt;='任务与甘特'!$U30),"■","")</x:f>
      </x:c>
      <x:c r="R29" s="56" t="str">
        <x:f>IF(AND(R$5&gt;='任务与甘特'!$T30,R$5&lt;='任务与甘特'!$U30),"■","")</x:f>
      </x:c>
      <x:c r="S29" s="56" t="str">
        <x:f>IF(AND(S$5&gt;='任务与甘特'!$T30,S$5&lt;='任务与甘特'!$U30),"■","")</x:f>
      </x:c>
      <x:c r="T29" s="56" t="str">
        <x:f>IF(AND(T$5&gt;='任务与甘特'!$T30,T$5&lt;='任务与甘特'!$U30),"■","")</x:f>
      </x:c>
      <x:c r="U29" s="56" t="str">
        <x:f>IF(AND(U$5&gt;='任务与甘特'!$T30,U$5&lt;='任务与甘特'!$U30),"■","")</x:f>
      </x:c>
      <x:c r="V29" s="56" t="str">
        <x:f>IF(AND(V$5&gt;='任务与甘特'!$T30,V$5&lt;='任务与甘特'!$U30),"■","")</x:f>
      </x:c>
      <x:c r="W29" s="56" t="str">
        <x:f>IF(AND(W$5&gt;='任务与甘特'!$T30,W$5&lt;='任务与甘特'!$U30),"■","")</x:f>
      </x:c>
      <x:c r="X29" s="56" t="str">
        <x:f>IF(AND(X$5&gt;='任务与甘特'!$T30,X$5&lt;='任务与甘特'!$U30),"■","")</x:f>
      </x:c>
      <x:c r="Y29" s="56" t="str">
        <x:f>IF(AND(Y$5&gt;='任务与甘特'!$T30,Y$5&lt;='任务与甘特'!$U30),"■","")</x:f>
      </x:c>
      <x:c r="Z29" s="56" t="str">
        <x:f>IF(AND(Z$5&gt;='任务与甘特'!$T30,Z$5&lt;='任务与甘特'!$U30),"■","")</x:f>
      </x:c>
      <x:c r="AA29" s="56" t="str">
        <x:f>IF(AND(AA$5&gt;='任务与甘特'!$T30,AA$5&lt;='任务与甘特'!$U30),"■","")</x:f>
      </x:c>
      <x:c r="AB29" s="56" t="str">
        <x:f>IF(AND(AB$5&gt;='任务与甘特'!$T30,AB$5&lt;='任务与甘特'!$U30),"■","")</x:f>
      </x:c>
      <x:c r="AC29" s="56" t="str">
        <x:f>IF(AND(AC$5&gt;='任务与甘特'!$T30,AC$5&lt;='任务与甘特'!$U30),"■","")</x:f>
      </x:c>
      <x:c r="AD29" s="56" t="str">
        <x:f>IF(AND(AD$5&gt;='任务与甘特'!$T30,AD$5&lt;='任务与甘特'!$U30),"■","")</x:f>
      </x:c>
      <x:c r="AE29" s="56" t="str">
        <x:f>IF(AND(AE$5&gt;='任务与甘特'!$T30,AE$5&lt;='任务与甘特'!$U30),"■","")</x:f>
      </x:c>
      <x:c r="AF29" s="56" t="str">
        <x:f>IF(AND(AF$5&gt;='任务与甘特'!$T30,AF$5&lt;='任务与甘特'!$U30),"■","")</x:f>
      </x:c>
      <x:c r="AG29" s="56" t="str">
        <x:f>IF(AND(AG$5&gt;='任务与甘特'!$T30,AG$5&lt;='任务与甘特'!$U30),"■","")</x:f>
      </x:c>
      <x:c r="AH29" s="56" t="str">
        <x:f>IF(AND(AH$5&gt;='任务与甘特'!$T30,AH$5&lt;='任务与甘特'!$U30),"■","")</x:f>
      </x:c>
      <x:c r="AI29" s="56" t="str">
        <x:f>IF(AND(AI$5&gt;='任务与甘特'!$T30,AI$5&lt;='任务与甘特'!$U30),"■","")</x:f>
      </x:c>
      <x:c r="AJ29" s="56" t="str">
        <x:f>IF(AND(AJ$5&gt;='任务与甘特'!$T30,AJ$5&lt;='任务与甘特'!$U30),"■","")</x:f>
      </x:c>
      <x:c r="AK29" s="56" t="str">
        <x:f>IF(AND(AK$5&gt;='任务与甘特'!$T30,AK$5&lt;='任务与甘特'!$U30),"■","")</x:f>
      </x:c>
      <x:c r="AL29" s="56" t="str">
        <x:f>IF(AND(AL$5&gt;='任务与甘特'!$T30,AL$5&lt;='任务与甘特'!$U30),"■","")</x:f>
      </x:c>
      <x:c r="AM29" s="56" t="str">
        <x:f>IF(AND(AM$5&gt;='任务与甘特'!$T30,AM$5&lt;='任务与甘特'!$U30),"■","")</x:f>
      </x:c>
      <x:c r="AN29" s="56" t="str">
        <x:f>IF(AND(AN$5&gt;='任务与甘特'!$T30,AN$5&lt;='任务与甘特'!$U30),"■","")</x:f>
      </x:c>
      <x:c r="AO29" s="56" t="str">
        <x:f>IF(AND(AO$5&gt;='任务与甘特'!$T30,AO$5&lt;='任务与甘特'!$U30),"■","")</x:f>
      </x:c>
      <x:c r="AP29" s="56" t="str">
        <x:f>IF(AND(AP$5&gt;='任务与甘特'!$T30,AP$5&lt;='任务与甘特'!$U30),"■","")</x:f>
      </x:c>
    </x:row>
    <x:row r="30" ht="38" customHeight="1">
      <x:c r="A30" s="29" t="str">
        <x:f>'任务与甘特'!A31</x:f>
        <x:v>T3.17</x:v>
      </x:c>
      <x:c r="B30" s="29" t="str">
        <x:f>'任务与甘特'!B31</x:f>
        <x:v>实现批次冻结与MOCK交换</x:v>
      </x:c>
      <x:c r="C30" s="56" t="str">
        <x:f>IF(AND(C$5&gt;='任务与甘特'!$T31,C$5&lt;='任务与甘特'!$U31),"■","")</x:f>
      </x:c>
      <x:c r="D30" s="56" t="str">
        <x:f>IF(AND(D$5&gt;='任务与甘特'!$T31,D$5&lt;='任务与甘特'!$U31),"■","")</x:f>
      </x:c>
      <x:c r="E30" s="56" t="str">
        <x:f>IF(AND(E$5&gt;='任务与甘特'!$T31,E$5&lt;='任务与甘特'!$U31),"■","")</x:f>
      </x:c>
      <x:c r="F30" s="56" t="str">
        <x:f>IF(AND(F$5&gt;='任务与甘特'!$T31,F$5&lt;='任务与甘特'!$U31),"■","")</x:f>
      </x:c>
      <x:c r="G30" s="56" t="str">
        <x:f>IF(AND(G$5&gt;='任务与甘特'!$T31,G$5&lt;='任务与甘特'!$U31),"■","")</x:f>
      </x:c>
      <x:c r="H30" s="56" t="str">
        <x:f>IF(AND(H$5&gt;='任务与甘特'!$T31,H$5&lt;='任务与甘特'!$U31),"■","")</x:f>
      </x:c>
      <x:c r="I30" s="56" t="str">
        <x:f>IF(AND(I$5&gt;='任务与甘特'!$T31,I$5&lt;='任务与甘特'!$U31),"■","")</x:f>
      </x:c>
      <x:c r="J30" s="56" t="str">
        <x:f>IF(AND(J$5&gt;='任务与甘特'!$T31,J$5&lt;='任务与甘特'!$U31),"■","")</x:f>
      </x:c>
      <x:c r="K30" s="56" t="str">
        <x:f>IF(AND(K$5&gt;='任务与甘特'!$T31,K$5&lt;='任务与甘特'!$U31),"■","")</x:f>
      </x:c>
      <x:c r="L30" s="56" t="str">
        <x:f>IF(AND(L$5&gt;='任务与甘特'!$T31,L$5&lt;='任务与甘特'!$U31),"■","")</x:f>
      </x:c>
      <x:c r="M30" s="56" t="str">
        <x:f>IF(AND(M$5&gt;='任务与甘特'!$T31,M$5&lt;='任务与甘特'!$U31),"■","")</x:f>
      </x:c>
      <x:c r="N30" s="56" t="str">
        <x:f>IF(AND(N$5&gt;='任务与甘特'!$T31,N$5&lt;='任务与甘特'!$U31),"■","")</x:f>
      </x:c>
      <x:c r="O30" s="56" t="str">
        <x:f>IF(AND(O$5&gt;='任务与甘特'!$T31,O$5&lt;='任务与甘特'!$U31),"■","")</x:f>
      </x:c>
      <x:c r="P30" s="56" t="str">
        <x:f>IF(AND(P$5&gt;='任务与甘特'!$T31,P$5&lt;='任务与甘特'!$U31),"■","")</x:f>
      </x:c>
      <x:c r="Q30" s="56" t="str">
        <x:f>IF(AND(Q$5&gt;='任务与甘特'!$T31,Q$5&lt;='任务与甘特'!$U31),"■","")</x:f>
      </x:c>
      <x:c r="R30" s="56" t="str">
        <x:f>IF(AND(R$5&gt;='任务与甘特'!$T31,R$5&lt;='任务与甘特'!$U31),"■","")</x:f>
      </x:c>
      <x:c r="S30" s="56" t="str">
        <x:f>IF(AND(S$5&gt;='任务与甘特'!$T31,S$5&lt;='任务与甘特'!$U31),"■","")</x:f>
      </x:c>
      <x:c r="T30" s="56" t="str">
        <x:f>IF(AND(T$5&gt;='任务与甘特'!$T31,T$5&lt;='任务与甘特'!$U31),"■","")</x:f>
      </x:c>
      <x:c r="U30" s="56" t="str">
        <x:f>IF(AND(U$5&gt;='任务与甘特'!$T31,U$5&lt;='任务与甘特'!$U31),"■","")</x:f>
        <x:v>■</x:v>
      </x:c>
      <x:c r="V30" s="56" t="str">
        <x:f>IF(AND(V$5&gt;='任务与甘特'!$T31,V$5&lt;='任务与甘特'!$U31),"■","")</x:f>
        <x:v>■</x:v>
      </x:c>
      <x:c r="W30" s="56" t="str">
        <x:f>IF(AND(W$5&gt;='任务与甘特'!$T31,W$5&lt;='任务与甘特'!$U31),"■","")</x:f>
        <x:v>■</x:v>
      </x:c>
      <x:c r="X30" s="56" t="str">
        <x:f>IF(AND(X$5&gt;='任务与甘特'!$T31,X$5&lt;='任务与甘特'!$U31),"■","")</x:f>
      </x:c>
      <x:c r="Y30" s="56" t="str">
        <x:f>IF(AND(Y$5&gt;='任务与甘特'!$T31,Y$5&lt;='任务与甘特'!$U31),"■","")</x:f>
      </x:c>
      <x:c r="Z30" s="56" t="str">
        <x:f>IF(AND(Z$5&gt;='任务与甘特'!$T31,Z$5&lt;='任务与甘特'!$U31),"■","")</x:f>
      </x:c>
      <x:c r="AA30" s="56" t="str">
        <x:f>IF(AND(AA$5&gt;='任务与甘特'!$T31,AA$5&lt;='任务与甘特'!$U31),"■","")</x:f>
      </x:c>
      <x:c r="AB30" s="56" t="str">
        <x:f>IF(AND(AB$5&gt;='任务与甘特'!$T31,AB$5&lt;='任务与甘特'!$U31),"■","")</x:f>
      </x:c>
      <x:c r="AC30" s="56" t="str">
        <x:f>IF(AND(AC$5&gt;='任务与甘特'!$T31,AC$5&lt;='任务与甘特'!$U31),"■","")</x:f>
      </x:c>
      <x:c r="AD30" s="56" t="str">
        <x:f>IF(AND(AD$5&gt;='任务与甘特'!$T31,AD$5&lt;='任务与甘特'!$U31),"■","")</x:f>
      </x:c>
      <x:c r="AE30" s="56" t="str">
        <x:f>IF(AND(AE$5&gt;='任务与甘特'!$T31,AE$5&lt;='任务与甘特'!$U31),"■","")</x:f>
      </x:c>
      <x:c r="AF30" s="56" t="str">
        <x:f>IF(AND(AF$5&gt;='任务与甘特'!$T31,AF$5&lt;='任务与甘特'!$U31),"■","")</x:f>
      </x:c>
      <x:c r="AG30" s="56" t="str">
        <x:f>IF(AND(AG$5&gt;='任务与甘特'!$T31,AG$5&lt;='任务与甘特'!$U31),"■","")</x:f>
      </x:c>
      <x:c r="AH30" s="56" t="str">
        <x:f>IF(AND(AH$5&gt;='任务与甘特'!$T31,AH$5&lt;='任务与甘特'!$U31),"■","")</x:f>
      </x:c>
      <x:c r="AI30" s="56" t="str">
        <x:f>IF(AND(AI$5&gt;='任务与甘特'!$T31,AI$5&lt;='任务与甘特'!$U31),"■","")</x:f>
      </x:c>
      <x:c r="AJ30" s="56" t="str">
        <x:f>IF(AND(AJ$5&gt;='任务与甘特'!$T31,AJ$5&lt;='任务与甘特'!$U31),"■","")</x:f>
      </x:c>
      <x:c r="AK30" s="56" t="str">
        <x:f>IF(AND(AK$5&gt;='任务与甘特'!$T31,AK$5&lt;='任务与甘特'!$U31),"■","")</x:f>
      </x:c>
      <x:c r="AL30" s="56" t="str">
        <x:f>IF(AND(AL$5&gt;='任务与甘特'!$T31,AL$5&lt;='任务与甘特'!$U31),"■","")</x:f>
      </x:c>
      <x:c r="AM30" s="56" t="str">
        <x:f>IF(AND(AM$5&gt;='任务与甘特'!$T31,AM$5&lt;='任务与甘特'!$U31),"■","")</x:f>
      </x:c>
      <x:c r="AN30" s="56" t="str">
        <x:f>IF(AND(AN$5&gt;='任务与甘特'!$T31,AN$5&lt;='任务与甘特'!$U31),"■","")</x:f>
      </x:c>
      <x:c r="AO30" s="56" t="str">
        <x:f>IF(AND(AO$5&gt;='任务与甘特'!$T31,AO$5&lt;='任务与甘特'!$U31),"■","")</x:f>
      </x:c>
      <x:c r="AP30" s="56" t="str">
        <x:f>IF(AND(AP$5&gt;='任务与甘特'!$T31,AP$5&lt;='任务与甘特'!$U31),"■","")</x:f>
      </x:c>
    </x:row>
    <x:row r="31" ht="38" customHeight="1">
      <x:c r="A31" s="29" t="str">
        <x:f>'任务与甘特'!A32</x:f>
        <x:v>T3.18</x:v>
      </x:c>
      <x:c r="B31" s="29" t="str">
        <x:f>'任务与甘特'!B32</x:f>
        <x:v>实现实际REAL协议适配</x:v>
      </x:c>
      <x:c r="C31" s="56" t="str">
        <x:f>IF(AND(C$5&gt;='任务与甘特'!$T32,C$5&lt;='任务与甘特'!$U32),"■","")</x:f>
      </x:c>
      <x:c r="D31" s="56" t="str">
        <x:f>IF(AND(D$5&gt;='任务与甘特'!$T32,D$5&lt;='任务与甘特'!$U32),"■","")</x:f>
      </x:c>
      <x:c r="E31" s="56" t="str">
        <x:f>IF(AND(E$5&gt;='任务与甘特'!$T32,E$5&lt;='任务与甘特'!$U32),"■","")</x:f>
      </x:c>
      <x:c r="F31" s="56" t="str">
        <x:f>IF(AND(F$5&gt;='任务与甘特'!$T32,F$5&lt;='任务与甘特'!$U32),"■","")</x:f>
      </x:c>
      <x:c r="G31" s="56" t="str">
        <x:f>IF(AND(G$5&gt;='任务与甘特'!$T32,G$5&lt;='任务与甘特'!$U32),"■","")</x:f>
      </x:c>
      <x:c r="H31" s="56" t="str">
        <x:f>IF(AND(H$5&gt;='任务与甘特'!$T32,H$5&lt;='任务与甘特'!$U32),"■","")</x:f>
      </x:c>
      <x:c r="I31" s="56" t="str">
        <x:f>IF(AND(I$5&gt;='任务与甘特'!$T32,I$5&lt;='任务与甘特'!$U32),"■","")</x:f>
      </x:c>
      <x:c r="J31" s="56" t="str">
        <x:f>IF(AND(J$5&gt;='任务与甘特'!$T32,J$5&lt;='任务与甘特'!$U32),"■","")</x:f>
      </x:c>
      <x:c r="K31" s="56" t="str">
        <x:f>IF(AND(K$5&gt;='任务与甘特'!$T32,K$5&lt;='任务与甘特'!$U32),"■","")</x:f>
      </x:c>
      <x:c r="L31" s="56" t="str">
        <x:f>IF(AND(L$5&gt;='任务与甘特'!$T32,L$5&lt;='任务与甘特'!$U32),"■","")</x:f>
      </x:c>
      <x:c r="M31" s="56" t="str">
        <x:f>IF(AND(M$5&gt;='任务与甘特'!$T32,M$5&lt;='任务与甘特'!$U32),"■","")</x:f>
      </x:c>
      <x:c r="N31" s="56" t="str">
        <x:f>IF(AND(N$5&gt;='任务与甘特'!$T32,N$5&lt;='任务与甘特'!$U32),"■","")</x:f>
      </x:c>
      <x:c r="O31" s="56" t="str">
        <x:f>IF(AND(O$5&gt;='任务与甘特'!$T32,O$5&lt;='任务与甘特'!$U32),"■","")</x:f>
      </x:c>
      <x:c r="P31" s="56" t="str">
        <x:f>IF(AND(P$5&gt;='任务与甘特'!$T32,P$5&lt;='任务与甘特'!$U32),"■","")</x:f>
      </x:c>
      <x:c r="Q31" s="56" t="str">
        <x:f>IF(AND(Q$5&gt;='任务与甘特'!$T32,Q$5&lt;='任务与甘特'!$U32),"■","")</x:f>
      </x:c>
      <x:c r="R31" s="56" t="str">
        <x:f>IF(AND(R$5&gt;='任务与甘特'!$T32,R$5&lt;='任务与甘特'!$U32),"■","")</x:f>
      </x:c>
      <x:c r="S31" s="56" t="str">
        <x:f>IF(AND(S$5&gt;='任务与甘特'!$T32,S$5&lt;='任务与甘特'!$U32),"■","")</x:f>
      </x:c>
      <x:c r="T31" s="56" t="str">
        <x:f>IF(AND(T$5&gt;='任务与甘特'!$T32,T$5&lt;='任务与甘特'!$U32),"■","")</x:f>
      </x:c>
      <x:c r="U31" s="56" t="str">
        <x:f>IF(AND(U$5&gt;='任务与甘特'!$T32,U$5&lt;='任务与甘特'!$U32),"■","")</x:f>
        <x:v>■</x:v>
      </x:c>
      <x:c r="V31" s="56" t="str">
        <x:f>IF(AND(V$5&gt;='任务与甘特'!$T32,V$5&lt;='任务与甘特'!$U32),"■","")</x:f>
        <x:v>■</x:v>
      </x:c>
      <x:c r="W31" s="56" t="str">
        <x:f>IF(AND(W$5&gt;='任务与甘特'!$T32,W$5&lt;='任务与甘特'!$U32),"■","")</x:f>
        <x:v>■</x:v>
      </x:c>
      <x:c r="X31" s="56" t="str">
        <x:f>IF(AND(X$5&gt;='任务与甘特'!$T32,X$5&lt;='任务与甘特'!$U32),"■","")</x:f>
      </x:c>
      <x:c r="Y31" s="56" t="str">
        <x:f>IF(AND(Y$5&gt;='任务与甘特'!$T32,Y$5&lt;='任务与甘特'!$U32),"■","")</x:f>
      </x:c>
      <x:c r="Z31" s="56" t="str">
        <x:f>IF(AND(Z$5&gt;='任务与甘特'!$T32,Z$5&lt;='任务与甘特'!$U32),"■","")</x:f>
      </x:c>
      <x:c r="AA31" s="56" t="str">
        <x:f>IF(AND(AA$5&gt;='任务与甘特'!$T32,AA$5&lt;='任务与甘特'!$U32),"■","")</x:f>
      </x:c>
      <x:c r="AB31" s="56" t="str">
        <x:f>IF(AND(AB$5&gt;='任务与甘特'!$T32,AB$5&lt;='任务与甘特'!$U32),"■","")</x:f>
      </x:c>
      <x:c r="AC31" s="56" t="str">
        <x:f>IF(AND(AC$5&gt;='任务与甘特'!$T32,AC$5&lt;='任务与甘特'!$U32),"■","")</x:f>
      </x:c>
      <x:c r="AD31" s="56" t="str">
        <x:f>IF(AND(AD$5&gt;='任务与甘特'!$T32,AD$5&lt;='任务与甘特'!$U32),"■","")</x:f>
      </x:c>
      <x:c r="AE31" s="56" t="str">
        <x:f>IF(AND(AE$5&gt;='任务与甘特'!$T32,AE$5&lt;='任务与甘特'!$U32),"■","")</x:f>
      </x:c>
      <x:c r="AF31" s="56" t="str">
        <x:f>IF(AND(AF$5&gt;='任务与甘特'!$T32,AF$5&lt;='任务与甘特'!$U32),"■","")</x:f>
      </x:c>
      <x:c r="AG31" s="56" t="str">
        <x:f>IF(AND(AG$5&gt;='任务与甘特'!$T32,AG$5&lt;='任务与甘特'!$U32),"■","")</x:f>
      </x:c>
      <x:c r="AH31" s="56" t="str">
        <x:f>IF(AND(AH$5&gt;='任务与甘特'!$T32,AH$5&lt;='任务与甘特'!$U32),"■","")</x:f>
      </x:c>
      <x:c r="AI31" s="56" t="str">
        <x:f>IF(AND(AI$5&gt;='任务与甘特'!$T32,AI$5&lt;='任务与甘特'!$U32),"■","")</x:f>
      </x:c>
      <x:c r="AJ31" s="56" t="str">
        <x:f>IF(AND(AJ$5&gt;='任务与甘特'!$T32,AJ$5&lt;='任务与甘特'!$U32),"■","")</x:f>
      </x:c>
      <x:c r="AK31" s="56" t="str">
        <x:f>IF(AND(AK$5&gt;='任务与甘特'!$T32,AK$5&lt;='任务与甘特'!$U32),"■","")</x:f>
      </x:c>
      <x:c r="AL31" s="56" t="str">
        <x:f>IF(AND(AL$5&gt;='任务与甘特'!$T32,AL$5&lt;='任务与甘特'!$U32),"■","")</x:f>
      </x:c>
      <x:c r="AM31" s="56" t="str">
        <x:f>IF(AND(AM$5&gt;='任务与甘特'!$T32,AM$5&lt;='任务与甘特'!$U32),"■","")</x:f>
      </x:c>
      <x:c r="AN31" s="56" t="str">
        <x:f>IF(AND(AN$5&gt;='任务与甘特'!$T32,AN$5&lt;='任务与甘特'!$U32),"■","")</x:f>
      </x:c>
      <x:c r="AO31" s="56" t="str">
        <x:f>IF(AND(AO$5&gt;='任务与甘特'!$T32,AO$5&lt;='任务与甘特'!$U32),"■","")</x:f>
      </x:c>
      <x:c r="AP31" s="56" t="str">
        <x:f>IF(AND(AP$5&gt;='任务与甘特'!$T32,AP$5&lt;='任务与甘特'!$U32),"■","")</x:f>
      </x:c>
    </x:row>
    <x:row r="32" ht="38" customHeight="1">
      <x:c r="A32" s="29" t="str">
        <x:f>'任务与甘特'!A33</x:f>
        <x:v>T3.19</x:v>
      </x:c>
      <x:c r="B32" s="29" t="str">
        <x:f>'任务与甘特'!B33</x:f>
        <x:v>编写配置、部署、备份与回滚</x:v>
      </x:c>
      <x:c r="C32" s="56" t="str">
        <x:f>IF(AND(C$5&gt;='任务与甘特'!$T33,C$5&lt;='任务与甘特'!$U33),"■","")</x:f>
      </x:c>
      <x:c r="D32" s="56" t="str">
        <x:f>IF(AND(D$5&gt;='任务与甘特'!$T33,D$5&lt;='任务与甘特'!$U33),"■","")</x:f>
      </x:c>
      <x:c r="E32" s="56" t="str">
        <x:f>IF(AND(E$5&gt;='任务与甘特'!$T33,E$5&lt;='任务与甘特'!$U33),"■","")</x:f>
      </x:c>
      <x:c r="F32" s="56" t="str">
        <x:f>IF(AND(F$5&gt;='任务与甘特'!$T33,F$5&lt;='任务与甘特'!$U33),"■","")</x:f>
      </x:c>
      <x:c r="G32" s="56" t="str">
        <x:f>IF(AND(G$5&gt;='任务与甘特'!$T33,G$5&lt;='任务与甘特'!$U33),"■","")</x:f>
      </x:c>
      <x:c r="H32" s="56" t="str">
        <x:f>IF(AND(H$5&gt;='任务与甘特'!$T33,H$5&lt;='任务与甘特'!$U33),"■","")</x:f>
      </x:c>
      <x:c r="I32" s="56" t="str">
        <x:f>IF(AND(I$5&gt;='任务与甘特'!$T33,I$5&lt;='任务与甘特'!$U33),"■","")</x:f>
        <x:v>■</x:v>
      </x:c>
      <x:c r="J32" s="56" t="str">
        <x:f>IF(AND(J$5&gt;='任务与甘特'!$T33,J$5&lt;='任务与甘特'!$U33),"■","")</x:f>
        <x:v>■</x:v>
      </x:c>
      <x:c r="K32" s="56" t="str">
        <x:f>IF(AND(K$5&gt;='任务与甘特'!$T33,K$5&lt;='任务与甘特'!$U33),"■","")</x:f>
        <x:v>■</x:v>
      </x:c>
      <x:c r="L32" s="56" t="str">
        <x:f>IF(AND(L$5&gt;='任务与甘特'!$T33,L$5&lt;='任务与甘特'!$U33),"■","")</x:f>
      </x:c>
      <x:c r="M32" s="56" t="str">
        <x:f>IF(AND(M$5&gt;='任务与甘特'!$T33,M$5&lt;='任务与甘特'!$U33),"■","")</x:f>
      </x:c>
      <x:c r="N32" s="56" t="str">
        <x:f>IF(AND(N$5&gt;='任务与甘特'!$T33,N$5&lt;='任务与甘特'!$U33),"■","")</x:f>
      </x:c>
      <x:c r="O32" s="56" t="str">
        <x:f>IF(AND(O$5&gt;='任务与甘特'!$T33,O$5&lt;='任务与甘特'!$U33),"■","")</x:f>
      </x:c>
      <x:c r="P32" s="56" t="str">
        <x:f>IF(AND(P$5&gt;='任务与甘特'!$T33,P$5&lt;='任务与甘特'!$U33),"■","")</x:f>
      </x:c>
      <x:c r="Q32" s="56" t="str">
        <x:f>IF(AND(Q$5&gt;='任务与甘特'!$T33,Q$5&lt;='任务与甘特'!$U33),"■","")</x:f>
      </x:c>
      <x:c r="R32" s="56" t="str">
        <x:f>IF(AND(R$5&gt;='任务与甘特'!$T33,R$5&lt;='任务与甘特'!$U33),"■","")</x:f>
      </x:c>
      <x:c r="S32" s="56" t="str">
        <x:f>IF(AND(S$5&gt;='任务与甘特'!$T33,S$5&lt;='任务与甘特'!$U33),"■","")</x:f>
      </x:c>
      <x:c r="T32" s="56" t="str">
        <x:f>IF(AND(T$5&gt;='任务与甘特'!$T33,T$5&lt;='任务与甘特'!$U33),"■","")</x:f>
      </x:c>
      <x:c r="U32" s="56" t="str">
        <x:f>IF(AND(U$5&gt;='任务与甘特'!$T33,U$5&lt;='任务与甘特'!$U33),"■","")</x:f>
      </x:c>
      <x:c r="V32" s="56" t="str">
        <x:f>IF(AND(V$5&gt;='任务与甘特'!$T33,V$5&lt;='任务与甘特'!$U33),"■","")</x:f>
      </x:c>
      <x:c r="W32" s="56" t="str">
        <x:f>IF(AND(W$5&gt;='任务与甘特'!$T33,W$5&lt;='任务与甘特'!$U33),"■","")</x:f>
      </x:c>
      <x:c r="X32" s="56" t="str">
        <x:f>IF(AND(X$5&gt;='任务与甘特'!$T33,X$5&lt;='任务与甘特'!$U33),"■","")</x:f>
      </x:c>
      <x:c r="Y32" s="56" t="str">
        <x:f>IF(AND(Y$5&gt;='任务与甘特'!$T33,Y$5&lt;='任务与甘特'!$U33),"■","")</x:f>
      </x:c>
      <x:c r="Z32" s="56" t="str">
        <x:f>IF(AND(Z$5&gt;='任务与甘特'!$T33,Z$5&lt;='任务与甘特'!$U33),"■","")</x:f>
      </x:c>
      <x:c r="AA32" s="56" t="str">
        <x:f>IF(AND(AA$5&gt;='任务与甘特'!$T33,AA$5&lt;='任务与甘特'!$U33),"■","")</x:f>
      </x:c>
      <x:c r="AB32" s="56" t="str">
        <x:f>IF(AND(AB$5&gt;='任务与甘特'!$T33,AB$5&lt;='任务与甘特'!$U33),"■","")</x:f>
      </x:c>
      <x:c r="AC32" s="56" t="str">
        <x:f>IF(AND(AC$5&gt;='任务与甘特'!$T33,AC$5&lt;='任务与甘特'!$U33),"■","")</x:f>
      </x:c>
      <x:c r="AD32" s="56" t="str">
        <x:f>IF(AND(AD$5&gt;='任务与甘特'!$T33,AD$5&lt;='任务与甘特'!$U33),"■","")</x:f>
      </x:c>
      <x:c r="AE32" s="56" t="str">
        <x:f>IF(AND(AE$5&gt;='任务与甘特'!$T33,AE$5&lt;='任务与甘特'!$U33),"■","")</x:f>
      </x:c>
      <x:c r="AF32" s="56" t="str">
        <x:f>IF(AND(AF$5&gt;='任务与甘特'!$T33,AF$5&lt;='任务与甘特'!$U33),"■","")</x:f>
      </x:c>
      <x:c r="AG32" s="56" t="str">
        <x:f>IF(AND(AG$5&gt;='任务与甘特'!$T33,AG$5&lt;='任务与甘特'!$U33),"■","")</x:f>
      </x:c>
      <x:c r="AH32" s="56" t="str">
        <x:f>IF(AND(AH$5&gt;='任务与甘特'!$T33,AH$5&lt;='任务与甘特'!$U33),"■","")</x:f>
      </x:c>
      <x:c r="AI32" s="56" t="str">
        <x:f>IF(AND(AI$5&gt;='任务与甘特'!$T33,AI$5&lt;='任务与甘特'!$U33),"■","")</x:f>
      </x:c>
      <x:c r="AJ32" s="56" t="str">
        <x:f>IF(AND(AJ$5&gt;='任务与甘特'!$T33,AJ$5&lt;='任务与甘特'!$U33),"■","")</x:f>
      </x:c>
      <x:c r="AK32" s="56" t="str">
        <x:f>IF(AND(AK$5&gt;='任务与甘特'!$T33,AK$5&lt;='任务与甘特'!$U33),"■","")</x:f>
      </x:c>
      <x:c r="AL32" s="56" t="str">
        <x:f>IF(AND(AL$5&gt;='任务与甘特'!$T33,AL$5&lt;='任务与甘特'!$U33),"■","")</x:f>
      </x:c>
      <x:c r="AM32" s="56" t="str">
        <x:f>IF(AND(AM$5&gt;='任务与甘特'!$T33,AM$5&lt;='任务与甘特'!$U33),"■","")</x:f>
      </x:c>
      <x:c r="AN32" s="56" t="str">
        <x:f>IF(AND(AN$5&gt;='任务与甘特'!$T33,AN$5&lt;='任务与甘特'!$U33),"■","")</x:f>
      </x:c>
      <x:c r="AO32" s="56" t="str">
        <x:f>IF(AND(AO$5&gt;='任务与甘特'!$T33,AO$5&lt;='任务与甘特'!$U33),"■","")</x:f>
      </x:c>
      <x:c r="AP32" s="56" t="str">
        <x:f>IF(AND(AP$5&gt;='任务与甘特'!$T33,AP$5&lt;='任务与甘特'!$U33),"■","")</x:f>
      </x:c>
    </x:row>
    <x:row r="33" ht="38" customHeight="1">
      <x:c r="A33" s="29" t="str">
        <x:f>'任务与甘特'!A34</x:f>
        <x:v>T4.1</x:v>
      </x:c>
      <x:c r="B33" s="29" t="str">
        <x:f>'任务与甘特'!B34</x:f>
        <x:v>评审主业务链阶段成果</x:v>
      </x:c>
      <x:c r="C33" s="56" t="str">
        <x:f>IF(AND(C$5&gt;='任务与甘特'!$T34,C$5&lt;='任务与甘特'!$U34),"■","")</x:f>
      </x:c>
      <x:c r="D33" s="56" t="str">
        <x:f>IF(AND(D$5&gt;='任务与甘特'!$T34,D$5&lt;='任务与甘特'!$U34),"■","")</x:f>
      </x:c>
      <x:c r="E33" s="56" t="str">
        <x:f>IF(AND(E$5&gt;='任务与甘特'!$T34,E$5&lt;='任务与甘特'!$U34),"■","")</x:f>
      </x:c>
      <x:c r="F33" s="56" t="str">
        <x:f>IF(AND(F$5&gt;='任务与甘特'!$T34,F$5&lt;='任务与甘特'!$U34),"■","")</x:f>
      </x:c>
      <x:c r="G33" s="56" t="str">
        <x:f>IF(AND(G$5&gt;='任务与甘特'!$T34,G$5&lt;='任务与甘特'!$U34),"■","")</x:f>
      </x:c>
      <x:c r="H33" s="56" t="str">
        <x:f>IF(AND(H$5&gt;='任务与甘特'!$T34,H$5&lt;='任务与甘特'!$U34),"■","")</x:f>
      </x:c>
      <x:c r="I33" s="56" t="str">
        <x:f>IF(AND(I$5&gt;='任务与甘特'!$T34,I$5&lt;='任务与甘特'!$U34),"■","")</x:f>
      </x:c>
      <x:c r="J33" s="56" t="str">
        <x:f>IF(AND(J$5&gt;='任务与甘特'!$T34,J$5&lt;='任务与甘特'!$U34),"■","")</x:f>
      </x:c>
      <x:c r="K33" s="56" t="str">
        <x:f>IF(AND(K$5&gt;='任务与甘特'!$T34,K$5&lt;='任务与甘特'!$U34),"■","")</x:f>
      </x:c>
      <x:c r="L33" s="56" t="str">
        <x:f>IF(AND(L$5&gt;='任务与甘特'!$T34,L$5&lt;='任务与甘特'!$U34),"■","")</x:f>
      </x:c>
      <x:c r="M33" s="56" t="str">
        <x:f>IF(AND(M$5&gt;='任务与甘特'!$T34,M$5&lt;='任务与甘特'!$U34),"■","")</x:f>
      </x:c>
      <x:c r="N33" s="56" t="str">
        <x:f>IF(AND(N$5&gt;='任务与甘特'!$T34,N$5&lt;='任务与甘特'!$U34),"■","")</x:f>
      </x:c>
      <x:c r="O33" s="56" t="str">
        <x:f>IF(AND(O$5&gt;='任务与甘特'!$T34,O$5&lt;='任务与甘特'!$U34),"■","")</x:f>
      </x:c>
      <x:c r="P33" s="56" t="str">
        <x:f>IF(AND(P$5&gt;='任务与甘特'!$T34,P$5&lt;='任务与甘特'!$U34),"■","")</x:f>
      </x:c>
      <x:c r="Q33" s="56" t="str">
        <x:f>IF(AND(Q$5&gt;='任务与甘特'!$T34,Q$5&lt;='任务与甘特'!$U34),"■","")</x:f>
      </x:c>
      <x:c r="R33" s="56" t="str">
        <x:f>IF(AND(R$5&gt;='任务与甘特'!$T34,R$5&lt;='任务与甘特'!$U34),"■","")</x:f>
      </x:c>
      <x:c r="S33" s="56" t="str">
        <x:f>IF(AND(S$5&gt;='任务与甘特'!$T34,S$5&lt;='任务与甘特'!$U34),"■","")</x:f>
      </x:c>
      <x:c r="T33" s="56" t="str">
        <x:f>IF(AND(T$5&gt;='任务与甘特'!$T34,T$5&lt;='任务与甘特'!$U34),"■","")</x:f>
      </x:c>
      <x:c r="U33" s="56" t="str">
        <x:f>IF(AND(U$5&gt;='任务与甘特'!$T34,U$5&lt;='任务与甘特'!$U34),"■","")</x:f>
      </x:c>
      <x:c r="V33" s="56" t="str">
        <x:f>IF(AND(V$5&gt;='任务与甘特'!$T34,V$5&lt;='任务与甘特'!$U34),"■","")</x:f>
      </x:c>
      <x:c r="W33" s="56" t="str">
        <x:f>IF(AND(W$5&gt;='任务与甘特'!$T34,W$5&lt;='任务与甘特'!$U34),"■","")</x:f>
      </x:c>
      <x:c r="X33" s="56" t="str">
        <x:f>IF(AND(X$5&gt;='任务与甘特'!$T34,X$5&lt;='任务与甘特'!$U34),"■","")</x:f>
      </x:c>
      <x:c r="Y33" s="56" t="str">
        <x:f>IF(AND(Y$5&gt;='任务与甘特'!$T34,Y$5&lt;='任务与甘特'!$U34),"■","")</x:f>
      </x:c>
      <x:c r="Z33" s="56" t="str">
        <x:f>IF(AND(Z$5&gt;='任务与甘特'!$T34,Z$5&lt;='任务与甘特'!$U34),"■","")</x:f>
      </x:c>
      <x:c r="AA33" s="56" t="str">
        <x:f>IF(AND(AA$5&gt;='任务与甘特'!$T34,AA$5&lt;='任务与甘特'!$U34),"■","")</x:f>
        <x:v>■</x:v>
      </x:c>
      <x:c r="AB33" s="56" t="str">
        <x:f>IF(AND(AB$5&gt;='任务与甘特'!$T34,AB$5&lt;='任务与甘特'!$U34),"■","")</x:f>
      </x:c>
      <x:c r="AC33" s="56" t="str">
        <x:f>IF(AND(AC$5&gt;='任务与甘特'!$T34,AC$5&lt;='任务与甘特'!$U34),"■","")</x:f>
      </x:c>
      <x:c r="AD33" s="56" t="str">
        <x:f>IF(AND(AD$5&gt;='任务与甘特'!$T34,AD$5&lt;='任务与甘特'!$U34),"■","")</x:f>
      </x:c>
      <x:c r="AE33" s="56" t="str">
        <x:f>IF(AND(AE$5&gt;='任务与甘特'!$T34,AE$5&lt;='任务与甘特'!$U34),"■","")</x:f>
      </x:c>
      <x:c r="AF33" s="56" t="str">
        <x:f>IF(AND(AF$5&gt;='任务与甘特'!$T34,AF$5&lt;='任务与甘特'!$U34),"■","")</x:f>
      </x:c>
      <x:c r="AG33" s="56" t="str">
        <x:f>IF(AND(AG$5&gt;='任务与甘特'!$T34,AG$5&lt;='任务与甘特'!$U34),"■","")</x:f>
      </x:c>
      <x:c r="AH33" s="56" t="str">
        <x:f>IF(AND(AH$5&gt;='任务与甘特'!$T34,AH$5&lt;='任务与甘特'!$U34),"■","")</x:f>
      </x:c>
      <x:c r="AI33" s="56" t="str">
        <x:f>IF(AND(AI$5&gt;='任务与甘特'!$T34,AI$5&lt;='任务与甘特'!$U34),"■","")</x:f>
      </x:c>
      <x:c r="AJ33" s="56" t="str">
        <x:f>IF(AND(AJ$5&gt;='任务与甘特'!$T34,AJ$5&lt;='任务与甘特'!$U34),"■","")</x:f>
      </x:c>
      <x:c r="AK33" s="56" t="str">
        <x:f>IF(AND(AK$5&gt;='任务与甘特'!$T34,AK$5&lt;='任务与甘特'!$U34),"■","")</x:f>
      </x:c>
      <x:c r="AL33" s="56" t="str">
        <x:f>IF(AND(AL$5&gt;='任务与甘特'!$T34,AL$5&lt;='任务与甘特'!$U34),"■","")</x:f>
      </x:c>
      <x:c r="AM33" s="56" t="str">
        <x:f>IF(AND(AM$5&gt;='任务与甘特'!$T34,AM$5&lt;='任务与甘特'!$U34),"■","")</x:f>
      </x:c>
      <x:c r="AN33" s="56" t="str">
        <x:f>IF(AND(AN$5&gt;='任务与甘特'!$T34,AN$5&lt;='任务与甘特'!$U34),"■","")</x:f>
      </x:c>
      <x:c r="AO33" s="56" t="str">
        <x:f>IF(AND(AO$5&gt;='任务与甘特'!$T34,AO$5&lt;='任务与甘特'!$U34),"■","")</x:f>
      </x:c>
      <x:c r="AP33" s="56" t="str">
        <x:f>IF(AND(AP$5&gt;='任务与甘特'!$T34,AP$5&lt;='任务与甘特'!$U34),"■","")</x:f>
      </x:c>
    </x:row>
    <x:row r="34" ht="38" customHeight="1">
      <x:c r="A34" s="29" t="str">
        <x:f>'任务与甘特'!A35</x:f>
        <x:v>T4.2</x:v>
      </x:c>
      <x:c r="B34" s="29" t="str">
        <x:f>'任务与甘特'!B35</x:f>
        <x:v>完成本地模块集成</x:v>
      </x:c>
      <x:c r="C34" s="56" t="str">
        <x:f>IF(AND(C$5&gt;='任务与甘特'!$T35,C$5&lt;='任务与甘特'!$U35),"■","")</x:f>
      </x:c>
      <x:c r="D34" s="56" t="str">
        <x:f>IF(AND(D$5&gt;='任务与甘特'!$T35,D$5&lt;='任务与甘特'!$U35),"■","")</x:f>
      </x:c>
      <x:c r="E34" s="56" t="str">
        <x:f>IF(AND(E$5&gt;='任务与甘特'!$T35,E$5&lt;='任务与甘特'!$U35),"■","")</x:f>
      </x:c>
      <x:c r="F34" s="56" t="str">
        <x:f>IF(AND(F$5&gt;='任务与甘特'!$T35,F$5&lt;='任务与甘特'!$U35),"■","")</x:f>
      </x:c>
      <x:c r="G34" s="56" t="str">
        <x:f>IF(AND(G$5&gt;='任务与甘特'!$T35,G$5&lt;='任务与甘特'!$U35),"■","")</x:f>
      </x:c>
      <x:c r="H34" s="56" t="str">
        <x:f>IF(AND(H$5&gt;='任务与甘特'!$T35,H$5&lt;='任务与甘特'!$U35),"■","")</x:f>
      </x:c>
      <x:c r="I34" s="56" t="str">
        <x:f>IF(AND(I$5&gt;='任务与甘特'!$T35,I$5&lt;='任务与甘特'!$U35),"■","")</x:f>
      </x:c>
      <x:c r="J34" s="56" t="str">
        <x:f>IF(AND(J$5&gt;='任务与甘特'!$T35,J$5&lt;='任务与甘特'!$U35),"■","")</x:f>
      </x:c>
      <x:c r="K34" s="56" t="str">
        <x:f>IF(AND(K$5&gt;='任务与甘特'!$T35,K$5&lt;='任务与甘特'!$U35),"■","")</x:f>
      </x:c>
      <x:c r="L34" s="56" t="str">
        <x:f>IF(AND(L$5&gt;='任务与甘特'!$T35,L$5&lt;='任务与甘特'!$U35),"■","")</x:f>
      </x:c>
      <x:c r="M34" s="56" t="str">
        <x:f>IF(AND(M$5&gt;='任务与甘特'!$T35,M$5&lt;='任务与甘特'!$U35),"■","")</x:f>
      </x:c>
      <x:c r="N34" s="56" t="str">
        <x:f>IF(AND(N$5&gt;='任务与甘特'!$T35,N$5&lt;='任务与甘特'!$U35),"■","")</x:f>
      </x:c>
      <x:c r="O34" s="56" t="str">
        <x:f>IF(AND(O$5&gt;='任务与甘特'!$T35,O$5&lt;='任务与甘特'!$U35),"■","")</x:f>
      </x:c>
      <x:c r="P34" s="56" t="str">
        <x:f>IF(AND(P$5&gt;='任务与甘特'!$T35,P$5&lt;='任务与甘特'!$U35),"■","")</x:f>
      </x:c>
      <x:c r="Q34" s="56" t="str">
        <x:f>IF(AND(Q$5&gt;='任务与甘特'!$T35,Q$5&lt;='任务与甘特'!$U35),"■","")</x:f>
      </x:c>
      <x:c r="R34" s="56" t="str">
        <x:f>IF(AND(R$5&gt;='任务与甘特'!$T35,R$5&lt;='任务与甘特'!$U35),"■","")</x:f>
      </x:c>
      <x:c r="S34" s="56" t="str">
        <x:f>IF(AND(S$5&gt;='任务与甘特'!$T35,S$5&lt;='任务与甘特'!$U35),"■","")</x:f>
      </x:c>
      <x:c r="T34" s="56" t="str">
        <x:f>IF(AND(T$5&gt;='任务与甘特'!$T35,T$5&lt;='任务与甘特'!$U35),"■","")</x:f>
      </x:c>
      <x:c r="U34" s="56" t="str">
        <x:f>IF(AND(U$5&gt;='任务与甘特'!$T35,U$5&lt;='任务与甘特'!$U35),"■","")</x:f>
      </x:c>
      <x:c r="V34" s="56" t="str">
        <x:f>IF(AND(V$5&gt;='任务与甘特'!$T35,V$5&lt;='任务与甘特'!$U35),"■","")</x:f>
      </x:c>
      <x:c r="W34" s="56" t="str">
        <x:f>IF(AND(W$5&gt;='任务与甘特'!$T35,W$5&lt;='任务与甘特'!$U35),"■","")</x:f>
      </x:c>
      <x:c r="X34" s="56" t="str">
        <x:f>IF(AND(X$5&gt;='任务与甘特'!$T35,X$5&lt;='任务与甘特'!$U35),"■","")</x:f>
      </x:c>
      <x:c r="Y34" s="56" t="str">
        <x:f>IF(AND(Y$5&gt;='任务与甘特'!$T35,Y$5&lt;='任务与甘特'!$U35),"■","")</x:f>
      </x:c>
      <x:c r="Z34" s="56" t="str">
        <x:f>IF(AND(Z$5&gt;='任务与甘特'!$T35,Z$5&lt;='任务与甘特'!$U35),"■","")</x:f>
      </x:c>
      <x:c r="AA34" s="56" t="str">
        <x:f>IF(AND(AA$5&gt;='任务与甘特'!$T35,AA$5&lt;='任务与甘特'!$U35),"■","")</x:f>
      </x:c>
      <x:c r="AB34" s="56" t="str">
        <x:f>IF(AND(AB$5&gt;='任务与甘特'!$T35,AB$5&lt;='任务与甘特'!$U35),"■","")</x:f>
        <x:v>■</x:v>
      </x:c>
      <x:c r="AC34" s="56" t="str">
        <x:f>IF(AND(AC$5&gt;='任务与甘特'!$T35,AC$5&lt;='任务与甘特'!$U35),"■","")</x:f>
        <x:v>■</x:v>
      </x:c>
      <x:c r="AD34" s="56" t="str">
        <x:f>IF(AND(AD$5&gt;='任务与甘特'!$T35,AD$5&lt;='任务与甘特'!$U35),"■","")</x:f>
      </x:c>
      <x:c r="AE34" s="56" t="str">
        <x:f>IF(AND(AE$5&gt;='任务与甘特'!$T35,AE$5&lt;='任务与甘特'!$U35),"■","")</x:f>
      </x:c>
      <x:c r="AF34" s="56" t="str">
        <x:f>IF(AND(AF$5&gt;='任务与甘特'!$T35,AF$5&lt;='任务与甘特'!$U35),"■","")</x:f>
      </x:c>
      <x:c r="AG34" s="56" t="str">
        <x:f>IF(AND(AG$5&gt;='任务与甘特'!$T35,AG$5&lt;='任务与甘特'!$U35),"■","")</x:f>
      </x:c>
      <x:c r="AH34" s="56" t="str">
        <x:f>IF(AND(AH$5&gt;='任务与甘特'!$T35,AH$5&lt;='任务与甘特'!$U35),"■","")</x:f>
      </x:c>
      <x:c r="AI34" s="56" t="str">
        <x:f>IF(AND(AI$5&gt;='任务与甘特'!$T35,AI$5&lt;='任务与甘特'!$U35),"■","")</x:f>
      </x:c>
      <x:c r="AJ34" s="56" t="str">
        <x:f>IF(AND(AJ$5&gt;='任务与甘特'!$T35,AJ$5&lt;='任务与甘特'!$U35),"■","")</x:f>
      </x:c>
      <x:c r="AK34" s="56" t="str">
        <x:f>IF(AND(AK$5&gt;='任务与甘特'!$T35,AK$5&lt;='任务与甘特'!$U35),"■","")</x:f>
      </x:c>
      <x:c r="AL34" s="56" t="str">
        <x:f>IF(AND(AL$5&gt;='任务与甘特'!$T35,AL$5&lt;='任务与甘特'!$U35),"■","")</x:f>
      </x:c>
      <x:c r="AM34" s="56" t="str">
        <x:f>IF(AND(AM$5&gt;='任务与甘特'!$T35,AM$5&lt;='任务与甘特'!$U35),"■","")</x:f>
      </x:c>
      <x:c r="AN34" s="56" t="str">
        <x:f>IF(AND(AN$5&gt;='任务与甘特'!$T35,AN$5&lt;='任务与甘特'!$U35),"■","")</x:f>
      </x:c>
      <x:c r="AO34" s="56" t="str">
        <x:f>IF(AND(AO$5&gt;='任务与甘特'!$T35,AO$5&lt;='任务与甘特'!$U35),"■","")</x:f>
      </x:c>
      <x:c r="AP34" s="56" t="str">
        <x:f>IF(AND(AP$5&gt;='任务与甘特'!$T35,AP$5&lt;='任务与甘特'!$U35),"■","")</x:f>
      </x:c>
    </x:row>
    <x:row r="35" ht="38" customHeight="1">
      <x:c r="A35" s="29" t="str">
        <x:f>'任务与甘特'!A36</x:f>
        <x:v>T4.3</x:v>
      </x:c>
      <x:c r="B35" s="29" t="str">
        <x:f>'任务与甘特'!B36</x:f>
        <x:v>执行业务功能与边界测试</x:v>
      </x:c>
      <x:c r="C35" s="56" t="str">
        <x:f>IF(AND(C$5&gt;='任务与甘特'!$T36,C$5&lt;='任务与甘特'!$U36),"■","")</x:f>
      </x:c>
      <x:c r="D35" s="56" t="str">
        <x:f>IF(AND(D$5&gt;='任务与甘特'!$T36,D$5&lt;='任务与甘特'!$U36),"■","")</x:f>
      </x:c>
      <x:c r="E35" s="56" t="str">
        <x:f>IF(AND(E$5&gt;='任务与甘特'!$T36,E$5&lt;='任务与甘特'!$U36),"■","")</x:f>
      </x:c>
      <x:c r="F35" s="56" t="str">
        <x:f>IF(AND(F$5&gt;='任务与甘特'!$T36,F$5&lt;='任务与甘特'!$U36),"■","")</x:f>
      </x:c>
      <x:c r="G35" s="56" t="str">
        <x:f>IF(AND(G$5&gt;='任务与甘特'!$T36,G$5&lt;='任务与甘特'!$U36),"■","")</x:f>
      </x:c>
      <x:c r="H35" s="56" t="str">
        <x:f>IF(AND(H$5&gt;='任务与甘特'!$T36,H$5&lt;='任务与甘特'!$U36),"■","")</x:f>
      </x:c>
      <x:c r="I35" s="56" t="str">
        <x:f>IF(AND(I$5&gt;='任务与甘特'!$T36,I$5&lt;='任务与甘特'!$U36),"■","")</x:f>
      </x:c>
      <x:c r="J35" s="56" t="str">
        <x:f>IF(AND(J$5&gt;='任务与甘特'!$T36,J$5&lt;='任务与甘特'!$U36),"■","")</x:f>
      </x:c>
      <x:c r="K35" s="56" t="str">
        <x:f>IF(AND(K$5&gt;='任务与甘特'!$T36,K$5&lt;='任务与甘特'!$U36),"■","")</x:f>
      </x:c>
      <x:c r="L35" s="56" t="str">
        <x:f>IF(AND(L$5&gt;='任务与甘特'!$T36,L$5&lt;='任务与甘特'!$U36),"■","")</x:f>
      </x:c>
      <x:c r="M35" s="56" t="str">
        <x:f>IF(AND(M$5&gt;='任务与甘特'!$T36,M$5&lt;='任务与甘特'!$U36),"■","")</x:f>
      </x:c>
      <x:c r="N35" s="56" t="str">
        <x:f>IF(AND(N$5&gt;='任务与甘特'!$T36,N$5&lt;='任务与甘特'!$U36),"■","")</x:f>
      </x:c>
      <x:c r="O35" s="56" t="str">
        <x:f>IF(AND(O$5&gt;='任务与甘特'!$T36,O$5&lt;='任务与甘特'!$U36),"■","")</x:f>
      </x:c>
      <x:c r="P35" s="56" t="str">
        <x:f>IF(AND(P$5&gt;='任务与甘特'!$T36,P$5&lt;='任务与甘特'!$U36),"■","")</x:f>
      </x:c>
      <x:c r="Q35" s="56" t="str">
        <x:f>IF(AND(Q$5&gt;='任务与甘特'!$T36,Q$5&lt;='任务与甘特'!$U36),"■","")</x:f>
      </x:c>
      <x:c r="R35" s="56" t="str">
        <x:f>IF(AND(R$5&gt;='任务与甘特'!$T36,R$5&lt;='任务与甘特'!$U36),"■","")</x:f>
      </x:c>
      <x:c r="S35" s="56" t="str">
        <x:f>IF(AND(S$5&gt;='任务与甘特'!$T36,S$5&lt;='任务与甘特'!$U36),"■","")</x:f>
      </x:c>
      <x:c r="T35" s="56" t="str">
        <x:f>IF(AND(T$5&gt;='任务与甘特'!$T36,T$5&lt;='任务与甘特'!$U36),"■","")</x:f>
      </x:c>
      <x:c r="U35" s="56" t="str">
        <x:f>IF(AND(U$5&gt;='任务与甘特'!$T36,U$5&lt;='任务与甘特'!$U36),"■","")</x:f>
      </x:c>
      <x:c r="V35" s="56" t="str">
        <x:f>IF(AND(V$5&gt;='任务与甘特'!$T36,V$5&lt;='任务与甘特'!$U36),"■","")</x:f>
      </x:c>
      <x:c r="W35" s="56" t="str">
        <x:f>IF(AND(W$5&gt;='任务与甘特'!$T36,W$5&lt;='任务与甘特'!$U36),"■","")</x:f>
      </x:c>
      <x:c r="X35" s="56" t="str">
        <x:f>IF(AND(X$5&gt;='任务与甘特'!$T36,X$5&lt;='任务与甘特'!$U36),"■","")</x:f>
      </x:c>
      <x:c r="Y35" s="56" t="str">
        <x:f>IF(AND(Y$5&gt;='任务与甘特'!$T36,Y$5&lt;='任务与甘特'!$U36),"■","")</x:f>
      </x:c>
      <x:c r="Z35" s="56" t="str">
        <x:f>IF(AND(Z$5&gt;='任务与甘特'!$T36,Z$5&lt;='任务与甘特'!$U36),"■","")</x:f>
      </x:c>
      <x:c r="AA35" s="56" t="str">
        <x:f>IF(AND(AA$5&gt;='任务与甘特'!$T36,AA$5&lt;='任务与甘特'!$U36),"■","")</x:f>
      </x:c>
      <x:c r="AB35" s="56" t="str">
        <x:f>IF(AND(AB$5&gt;='任务与甘特'!$T36,AB$5&lt;='任务与甘特'!$U36),"■","")</x:f>
      </x:c>
      <x:c r="AC35" s="56" t="str">
        <x:f>IF(AND(AC$5&gt;='任务与甘特'!$T36,AC$5&lt;='任务与甘特'!$U36),"■","")</x:f>
      </x:c>
      <x:c r="AD35" s="56" t="str">
        <x:f>IF(AND(AD$5&gt;='任务与甘特'!$T36,AD$5&lt;='任务与甘特'!$U36),"■","")</x:f>
      </x:c>
      <x:c r="AE35" s="56" t="str">
        <x:f>IF(AND(AE$5&gt;='任务与甘特'!$T36,AE$5&lt;='任务与甘特'!$U36),"■","")</x:f>
      </x:c>
      <x:c r="AF35" s="56" t="str">
        <x:f>IF(AND(AF$5&gt;='任务与甘特'!$T36,AF$5&lt;='任务与甘特'!$U36),"■","")</x:f>
      </x:c>
      <x:c r="AG35" s="56" t="str">
        <x:f>IF(AND(AG$5&gt;='任务与甘特'!$T36,AG$5&lt;='任务与甘特'!$U36),"■","")</x:f>
        <x:v>■</x:v>
      </x:c>
      <x:c r="AH35" s="56" t="str">
        <x:f>IF(AND(AH$5&gt;='任务与甘特'!$T36,AH$5&lt;='任务与甘特'!$U36),"■","")</x:f>
        <x:v>■</x:v>
      </x:c>
      <x:c r="AI35" s="56" t="str">
        <x:f>IF(AND(AI$5&gt;='任务与甘特'!$T36,AI$5&lt;='任务与甘特'!$U36),"■","")</x:f>
        <x:v>■</x:v>
      </x:c>
      <x:c r="AJ35" s="56" t="str">
        <x:f>IF(AND(AJ$5&gt;='任务与甘特'!$T36,AJ$5&lt;='任务与甘特'!$U36),"■","")</x:f>
      </x:c>
      <x:c r="AK35" s="56" t="str">
        <x:f>IF(AND(AK$5&gt;='任务与甘特'!$T36,AK$5&lt;='任务与甘特'!$U36),"■","")</x:f>
      </x:c>
      <x:c r="AL35" s="56" t="str">
        <x:f>IF(AND(AL$5&gt;='任务与甘特'!$T36,AL$5&lt;='任务与甘特'!$U36),"■","")</x:f>
      </x:c>
      <x:c r="AM35" s="56" t="str">
        <x:f>IF(AND(AM$5&gt;='任务与甘特'!$T36,AM$5&lt;='任务与甘特'!$U36),"■","")</x:f>
      </x:c>
      <x:c r="AN35" s="56" t="str">
        <x:f>IF(AND(AN$5&gt;='任务与甘特'!$T36,AN$5&lt;='任务与甘特'!$U36),"■","")</x:f>
      </x:c>
      <x:c r="AO35" s="56" t="str">
        <x:f>IF(AND(AO$5&gt;='任务与甘特'!$T36,AO$5&lt;='任务与甘特'!$U36),"■","")</x:f>
      </x:c>
      <x:c r="AP35" s="56" t="str">
        <x:f>IF(AND(AP$5&gt;='任务与甘特'!$T36,AP$5&lt;='任务与甘特'!$U36),"■","")</x:f>
      </x:c>
    </x:row>
    <x:row r="36" ht="38" customHeight="1">
      <x:c r="A36" s="29" t="str">
        <x:f>'任务与甘特'!A37</x:f>
        <x:v>T4.4</x:v>
      </x:c>
      <x:c r="B36" s="29" t="str">
        <x:f>'任务与甘特'!B37</x:f>
        <x:v>验证MOCK回执与黄金摘要</x:v>
      </x:c>
      <x:c r="C36" s="56" t="str">
        <x:f>IF(AND(C$5&gt;='任务与甘特'!$T37,C$5&lt;='任务与甘特'!$U37),"■","")</x:f>
      </x:c>
      <x:c r="D36" s="56" t="str">
        <x:f>IF(AND(D$5&gt;='任务与甘特'!$T37,D$5&lt;='任务与甘特'!$U37),"■","")</x:f>
      </x:c>
      <x:c r="E36" s="56" t="str">
        <x:f>IF(AND(E$5&gt;='任务与甘特'!$T37,E$5&lt;='任务与甘特'!$U37),"■","")</x:f>
      </x:c>
      <x:c r="F36" s="56" t="str">
        <x:f>IF(AND(F$5&gt;='任务与甘特'!$T37,F$5&lt;='任务与甘特'!$U37),"■","")</x:f>
      </x:c>
      <x:c r="G36" s="56" t="str">
        <x:f>IF(AND(G$5&gt;='任务与甘特'!$T37,G$5&lt;='任务与甘特'!$U37),"■","")</x:f>
      </x:c>
      <x:c r="H36" s="56" t="str">
        <x:f>IF(AND(H$5&gt;='任务与甘特'!$T37,H$5&lt;='任务与甘特'!$U37),"■","")</x:f>
      </x:c>
      <x:c r="I36" s="56" t="str">
        <x:f>IF(AND(I$5&gt;='任务与甘特'!$T37,I$5&lt;='任务与甘特'!$U37),"■","")</x:f>
      </x:c>
      <x:c r="J36" s="56" t="str">
        <x:f>IF(AND(J$5&gt;='任务与甘特'!$T37,J$5&lt;='任务与甘特'!$U37),"■","")</x:f>
      </x:c>
      <x:c r="K36" s="56" t="str">
        <x:f>IF(AND(K$5&gt;='任务与甘特'!$T37,K$5&lt;='任务与甘特'!$U37),"■","")</x:f>
      </x:c>
      <x:c r="L36" s="56" t="str">
        <x:f>IF(AND(L$5&gt;='任务与甘特'!$T37,L$5&lt;='任务与甘特'!$U37),"■","")</x:f>
      </x:c>
      <x:c r="M36" s="56" t="str">
        <x:f>IF(AND(M$5&gt;='任务与甘特'!$T37,M$5&lt;='任务与甘特'!$U37),"■","")</x:f>
      </x:c>
      <x:c r="N36" s="56" t="str">
        <x:f>IF(AND(N$5&gt;='任务与甘特'!$T37,N$5&lt;='任务与甘特'!$U37),"■","")</x:f>
      </x:c>
      <x:c r="O36" s="56" t="str">
        <x:f>IF(AND(O$5&gt;='任务与甘特'!$T37,O$5&lt;='任务与甘特'!$U37),"■","")</x:f>
      </x:c>
      <x:c r="P36" s="56" t="str">
        <x:f>IF(AND(P$5&gt;='任务与甘特'!$T37,P$5&lt;='任务与甘特'!$U37),"■","")</x:f>
      </x:c>
      <x:c r="Q36" s="56" t="str">
        <x:f>IF(AND(Q$5&gt;='任务与甘特'!$T37,Q$5&lt;='任务与甘特'!$U37),"■","")</x:f>
      </x:c>
      <x:c r="R36" s="56" t="str">
        <x:f>IF(AND(R$5&gt;='任务与甘特'!$T37,R$5&lt;='任务与甘特'!$U37),"■","")</x:f>
      </x:c>
      <x:c r="S36" s="56" t="str">
        <x:f>IF(AND(S$5&gt;='任务与甘特'!$T37,S$5&lt;='任务与甘特'!$U37),"■","")</x:f>
      </x:c>
      <x:c r="T36" s="56" t="str">
        <x:f>IF(AND(T$5&gt;='任务与甘特'!$T37,T$5&lt;='任务与甘特'!$U37),"■","")</x:f>
      </x:c>
      <x:c r="U36" s="56" t="str">
        <x:f>IF(AND(U$5&gt;='任务与甘特'!$T37,U$5&lt;='任务与甘特'!$U37),"■","")</x:f>
      </x:c>
      <x:c r="V36" s="56" t="str">
        <x:f>IF(AND(V$5&gt;='任务与甘特'!$T37,V$5&lt;='任务与甘特'!$U37),"■","")</x:f>
      </x:c>
      <x:c r="W36" s="56" t="str">
        <x:f>IF(AND(W$5&gt;='任务与甘特'!$T37,W$5&lt;='任务与甘特'!$U37),"■","")</x:f>
      </x:c>
      <x:c r="X36" s="56" t="str">
        <x:f>IF(AND(X$5&gt;='任务与甘特'!$T37,X$5&lt;='任务与甘特'!$U37),"■","")</x:f>
        <x:v>■</x:v>
      </x:c>
      <x:c r="Y36" s="56" t="str">
        <x:f>IF(AND(Y$5&gt;='任务与甘特'!$T37,Y$5&lt;='任务与甘特'!$U37),"■","")</x:f>
        <x:v>■</x:v>
      </x:c>
      <x:c r="Z36" s="56" t="str">
        <x:f>IF(AND(Z$5&gt;='任务与甘特'!$T37,Z$5&lt;='任务与甘特'!$U37),"■","")</x:f>
      </x:c>
      <x:c r="AA36" s="56" t="str">
        <x:f>IF(AND(AA$5&gt;='任务与甘特'!$T37,AA$5&lt;='任务与甘特'!$U37),"■","")</x:f>
      </x:c>
      <x:c r="AB36" s="56" t="str">
        <x:f>IF(AND(AB$5&gt;='任务与甘特'!$T37,AB$5&lt;='任务与甘特'!$U37),"■","")</x:f>
      </x:c>
      <x:c r="AC36" s="56" t="str">
        <x:f>IF(AND(AC$5&gt;='任务与甘特'!$T37,AC$5&lt;='任务与甘特'!$U37),"■","")</x:f>
      </x:c>
      <x:c r="AD36" s="56" t="str">
        <x:f>IF(AND(AD$5&gt;='任务与甘特'!$T37,AD$5&lt;='任务与甘特'!$U37),"■","")</x:f>
      </x:c>
      <x:c r="AE36" s="56" t="str">
        <x:f>IF(AND(AE$5&gt;='任务与甘特'!$T37,AE$5&lt;='任务与甘特'!$U37),"■","")</x:f>
      </x:c>
      <x:c r="AF36" s="56" t="str">
        <x:f>IF(AND(AF$5&gt;='任务与甘特'!$T37,AF$5&lt;='任务与甘特'!$U37),"■","")</x:f>
      </x:c>
      <x:c r="AG36" s="56" t="str">
        <x:f>IF(AND(AG$5&gt;='任务与甘特'!$T37,AG$5&lt;='任务与甘特'!$U37),"■","")</x:f>
      </x:c>
      <x:c r="AH36" s="56" t="str">
        <x:f>IF(AND(AH$5&gt;='任务与甘特'!$T37,AH$5&lt;='任务与甘特'!$U37),"■","")</x:f>
      </x:c>
      <x:c r="AI36" s="56" t="str">
        <x:f>IF(AND(AI$5&gt;='任务与甘特'!$T37,AI$5&lt;='任务与甘特'!$U37),"■","")</x:f>
      </x:c>
      <x:c r="AJ36" s="56" t="str">
        <x:f>IF(AND(AJ$5&gt;='任务与甘特'!$T37,AJ$5&lt;='任务与甘特'!$U37),"■","")</x:f>
      </x:c>
      <x:c r="AK36" s="56" t="str">
        <x:f>IF(AND(AK$5&gt;='任务与甘特'!$T37,AK$5&lt;='任务与甘特'!$U37),"■","")</x:f>
      </x:c>
      <x:c r="AL36" s="56" t="str">
        <x:f>IF(AND(AL$5&gt;='任务与甘特'!$T37,AL$5&lt;='任务与甘特'!$U37),"■","")</x:f>
      </x:c>
      <x:c r="AM36" s="56" t="str">
        <x:f>IF(AND(AM$5&gt;='任务与甘特'!$T37,AM$5&lt;='任务与甘特'!$U37),"■","")</x:f>
      </x:c>
      <x:c r="AN36" s="56" t="str">
        <x:f>IF(AND(AN$5&gt;='任务与甘特'!$T37,AN$5&lt;='任务与甘特'!$U37),"■","")</x:f>
      </x:c>
      <x:c r="AO36" s="56" t="str">
        <x:f>IF(AND(AO$5&gt;='任务与甘特'!$T37,AO$5&lt;='任务与甘特'!$U37),"■","")</x:f>
      </x:c>
      <x:c r="AP36" s="56" t="str">
        <x:f>IF(AND(AP$5&gt;='任务与甘特'!$T37,AP$5&lt;='任务与甘特'!$U37),"■","")</x:f>
      </x:c>
    </x:row>
    <x:row r="37" ht="38" customHeight="1">
      <x:c r="A37" s="29" t="str">
        <x:f>'任务与甘特'!A38</x:f>
        <x:v>T4.5</x:v>
      </x:c>
      <x:c r="B37" s="29" t="str">
        <x:f>'任务与甘特'!B38</x:f>
        <x:v>完成实际国家交换验证</x:v>
      </x:c>
      <x:c r="C37" s="56" t="str">
        <x:f>IF(AND(C$5&gt;='任务与甘特'!$T38,C$5&lt;='任务与甘特'!$U38),"■","")</x:f>
      </x:c>
      <x:c r="D37" s="56" t="str">
        <x:f>IF(AND(D$5&gt;='任务与甘特'!$T38,D$5&lt;='任务与甘特'!$U38),"■","")</x:f>
      </x:c>
      <x:c r="E37" s="56" t="str">
        <x:f>IF(AND(E$5&gt;='任务与甘特'!$T38,E$5&lt;='任务与甘特'!$U38),"■","")</x:f>
      </x:c>
      <x:c r="F37" s="56" t="str">
        <x:f>IF(AND(F$5&gt;='任务与甘特'!$T38,F$5&lt;='任务与甘特'!$U38),"■","")</x:f>
      </x:c>
      <x:c r="G37" s="56" t="str">
        <x:f>IF(AND(G$5&gt;='任务与甘特'!$T38,G$5&lt;='任务与甘特'!$U38),"■","")</x:f>
      </x:c>
      <x:c r="H37" s="56" t="str">
        <x:f>IF(AND(H$5&gt;='任务与甘特'!$T38,H$5&lt;='任务与甘特'!$U38),"■","")</x:f>
      </x:c>
      <x:c r="I37" s="56" t="str">
        <x:f>IF(AND(I$5&gt;='任务与甘特'!$T38,I$5&lt;='任务与甘特'!$U38),"■","")</x:f>
      </x:c>
      <x:c r="J37" s="56" t="str">
        <x:f>IF(AND(J$5&gt;='任务与甘特'!$T38,J$5&lt;='任务与甘特'!$U38),"■","")</x:f>
      </x:c>
      <x:c r="K37" s="56" t="str">
        <x:f>IF(AND(K$5&gt;='任务与甘特'!$T38,K$5&lt;='任务与甘特'!$U38),"■","")</x:f>
      </x:c>
      <x:c r="L37" s="56" t="str">
        <x:f>IF(AND(L$5&gt;='任务与甘特'!$T38,L$5&lt;='任务与甘特'!$U38),"■","")</x:f>
      </x:c>
      <x:c r="M37" s="56" t="str">
        <x:f>IF(AND(M$5&gt;='任务与甘特'!$T38,M$5&lt;='任务与甘特'!$U38),"■","")</x:f>
      </x:c>
      <x:c r="N37" s="56" t="str">
        <x:f>IF(AND(N$5&gt;='任务与甘特'!$T38,N$5&lt;='任务与甘特'!$U38),"■","")</x:f>
      </x:c>
      <x:c r="O37" s="56" t="str">
        <x:f>IF(AND(O$5&gt;='任务与甘特'!$T38,O$5&lt;='任务与甘特'!$U38),"■","")</x:f>
      </x:c>
      <x:c r="P37" s="56" t="str">
        <x:f>IF(AND(P$5&gt;='任务与甘特'!$T38,P$5&lt;='任务与甘特'!$U38),"■","")</x:f>
      </x:c>
      <x:c r="Q37" s="56" t="str">
        <x:f>IF(AND(Q$5&gt;='任务与甘特'!$T38,Q$5&lt;='任务与甘特'!$U38),"■","")</x:f>
      </x:c>
      <x:c r="R37" s="56" t="str">
        <x:f>IF(AND(R$5&gt;='任务与甘特'!$T38,R$5&lt;='任务与甘特'!$U38),"■","")</x:f>
      </x:c>
      <x:c r="S37" s="56" t="str">
        <x:f>IF(AND(S$5&gt;='任务与甘特'!$T38,S$5&lt;='任务与甘特'!$U38),"■","")</x:f>
      </x:c>
      <x:c r="T37" s="56" t="str">
        <x:f>IF(AND(T$5&gt;='任务与甘特'!$T38,T$5&lt;='任务与甘特'!$U38),"■","")</x:f>
      </x:c>
      <x:c r="U37" s="56" t="str">
        <x:f>IF(AND(U$5&gt;='任务与甘特'!$T38,U$5&lt;='任务与甘特'!$U38),"■","")</x:f>
      </x:c>
      <x:c r="V37" s="56" t="str">
        <x:f>IF(AND(V$5&gt;='任务与甘特'!$T38,V$5&lt;='任务与甘特'!$U38),"■","")</x:f>
      </x:c>
      <x:c r="W37" s="56" t="str">
        <x:f>IF(AND(W$5&gt;='任务与甘特'!$T38,W$5&lt;='任务与甘特'!$U38),"■","")</x:f>
      </x:c>
      <x:c r="X37" s="56" t="str">
        <x:f>IF(AND(X$5&gt;='任务与甘特'!$T38,X$5&lt;='任务与甘特'!$U38),"■","")</x:f>
      </x:c>
      <x:c r="Y37" s="56" t="str">
        <x:f>IF(AND(Y$5&gt;='任务与甘特'!$T38,Y$5&lt;='任务与甘特'!$U38),"■","")</x:f>
      </x:c>
      <x:c r="Z37" s="56" t="str">
        <x:f>IF(AND(Z$5&gt;='任务与甘特'!$T38,Z$5&lt;='任务与甘特'!$U38),"■","")</x:f>
        <x:v>■</x:v>
      </x:c>
      <x:c r="AA37" s="56" t="str">
        <x:f>IF(AND(AA$5&gt;='任务与甘特'!$T38,AA$5&lt;='任务与甘特'!$U38),"■","")</x:f>
        <x:v>■</x:v>
      </x:c>
      <x:c r="AB37" s="56" t="str">
        <x:f>IF(AND(AB$5&gt;='任务与甘特'!$T38,AB$5&lt;='任务与甘特'!$U38),"■","")</x:f>
      </x:c>
      <x:c r="AC37" s="56" t="str">
        <x:f>IF(AND(AC$5&gt;='任务与甘特'!$T38,AC$5&lt;='任务与甘特'!$U38),"■","")</x:f>
      </x:c>
      <x:c r="AD37" s="56" t="str">
        <x:f>IF(AND(AD$5&gt;='任务与甘特'!$T38,AD$5&lt;='任务与甘特'!$U38),"■","")</x:f>
      </x:c>
      <x:c r="AE37" s="56" t="str">
        <x:f>IF(AND(AE$5&gt;='任务与甘特'!$T38,AE$5&lt;='任务与甘特'!$U38),"■","")</x:f>
      </x:c>
      <x:c r="AF37" s="56" t="str">
        <x:f>IF(AND(AF$5&gt;='任务与甘特'!$T38,AF$5&lt;='任务与甘特'!$U38),"■","")</x:f>
      </x:c>
      <x:c r="AG37" s="56" t="str">
        <x:f>IF(AND(AG$5&gt;='任务与甘特'!$T38,AG$5&lt;='任务与甘特'!$U38),"■","")</x:f>
      </x:c>
      <x:c r="AH37" s="56" t="str">
        <x:f>IF(AND(AH$5&gt;='任务与甘特'!$T38,AH$5&lt;='任务与甘特'!$U38),"■","")</x:f>
      </x:c>
      <x:c r="AI37" s="56" t="str">
        <x:f>IF(AND(AI$5&gt;='任务与甘特'!$T38,AI$5&lt;='任务与甘特'!$U38),"■","")</x:f>
      </x:c>
      <x:c r="AJ37" s="56" t="str">
        <x:f>IF(AND(AJ$5&gt;='任务与甘特'!$T38,AJ$5&lt;='任务与甘特'!$U38),"■","")</x:f>
      </x:c>
      <x:c r="AK37" s="56" t="str">
        <x:f>IF(AND(AK$5&gt;='任务与甘特'!$T38,AK$5&lt;='任务与甘特'!$U38),"■","")</x:f>
      </x:c>
      <x:c r="AL37" s="56" t="str">
        <x:f>IF(AND(AL$5&gt;='任务与甘特'!$T38,AL$5&lt;='任务与甘特'!$U38),"■","")</x:f>
      </x:c>
      <x:c r="AM37" s="56" t="str">
        <x:f>IF(AND(AM$5&gt;='任务与甘特'!$T38,AM$5&lt;='任务与甘特'!$U38),"■","")</x:f>
      </x:c>
      <x:c r="AN37" s="56" t="str">
        <x:f>IF(AND(AN$5&gt;='任务与甘特'!$T38,AN$5&lt;='任务与甘特'!$U38),"■","")</x:f>
      </x:c>
      <x:c r="AO37" s="56" t="str">
        <x:f>IF(AND(AO$5&gt;='任务与甘特'!$T38,AO$5&lt;='任务与甘特'!$U38),"■","")</x:f>
      </x:c>
      <x:c r="AP37" s="56" t="str">
        <x:f>IF(AND(AP$5&gt;='任务与甘特'!$T38,AP$5&lt;='任务与甘特'!$U38),"■","")</x:f>
      </x:c>
    </x:row>
    <x:row r="38" ht="38" customHeight="1">
      <x:c r="A38" s="29" t="str">
        <x:f>'任务与甘特'!A39</x:f>
        <x:v>T4.6</x:v>
      </x:c>
      <x:c r="B38" s="29" t="str">
        <x:f>'任务与甘特'!B39</x:f>
        <x:v>验证安全、认证和并发一致性</x:v>
      </x:c>
      <x:c r="C38" s="56" t="str">
        <x:f>IF(AND(C$5&gt;='任务与甘特'!$T39,C$5&lt;='任务与甘特'!$U39),"■","")</x:f>
      </x:c>
      <x:c r="D38" s="56" t="str">
        <x:f>IF(AND(D$5&gt;='任务与甘特'!$T39,D$5&lt;='任务与甘特'!$U39),"■","")</x:f>
      </x:c>
      <x:c r="E38" s="56" t="str">
        <x:f>IF(AND(E$5&gt;='任务与甘特'!$T39,E$5&lt;='任务与甘特'!$U39),"■","")</x:f>
      </x:c>
      <x:c r="F38" s="56" t="str">
        <x:f>IF(AND(F$5&gt;='任务与甘特'!$T39,F$5&lt;='任务与甘特'!$U39),"■","")</x:f>
      </x:c>
      <x:c r="G38" s="56" t="str">
        <x:f>IF(AND(G$5&gt;='任务与甘特'!$T39,G$5&lt;='任务与甘特'!$U39),"■","")</x:f>
      </x:c>
      <x:c r="H38" s="56" t="str">
        <x:f>IF(AND(H$5&gt;='任务与甘特'!$T39,H$5&lt;='任务与甘特'!$U39),"■","")</x:f>
      </x:c>
      <x:c r="I38" s="56" t="str">
        <x:f>IF(AND(I$5&gt;='任务与甘特'!$T39,I$5&lt;='任务与甘特'!$U39),"■","")</x:f>
      </x:c>
      <x:c r="J38" s="56" t="str">
        <x:f>IF(AND(J$5&gt;='任务与甘特'!$T39,J$5&lt;='任务与甘特'!$U39),"■","")</x:f>
      </x:c>
      <x:c r="K38" s="56" t="str">
        <x:f>IF(AND(K$5&gt;='任务与甘特'!$T39,K$5&lt;='任务与甘特'!$U39),"■","")</x:f>
      </x:c>
      <x:c r="L38" s="56" t="str">
        <x:f>IF(AND(L$5&gt;='任务与甘特'!$T39,L$5&lt;='任务与甘特'!$U39),"■","")</x:f>
      </x:c>
      <x:c r="M38" s="56" t="str">
        <x:f>IF(AND(M$5&gt;='任务与甘特'!$T39,M$5&lt;='任务与甘特'!$U39),"■","")</x:f>
      </x:c>
      <x:c r="N38" s="56" t="str">
        <x:f>IF(AND(N$5&gt;='任务与甘特'!$T39,N$5&lt;='任务与甘特'!$U39),"■","")</x:f>
      </x:c>
      <x:c r="O38" s="56" t="str">
        <x:f>IF(AND(O$5&gt;='任务与甘特'!$T39,O$5&lt;='任务与甘特'!$U39),"■","")</x:f>
      </x:c>
      <x:c r="P38" s="56" t="str">
        <x:f>IF(AND(P$5&gt;='任务与甘特'!$T39,P$5&lt;='任务与甘特'!$U39),"■","")</x:f>
      </x:c>
      <x:c r="Q38" s="56" t="str">
        <x:f>IF(AND(Q$5&gt;='任务与甘特'!$T39,Q$5&lt;='任务与甘特'!$U39),"■","")</x:f>
      </x:c>
      <x:c r="R38" s="56" t="str">
        <x:f>IF(AND(R$5&gt;='任务与甘特'!$T39,R$5&lt;='任务与甘特'!$U39),"■","")</x:f>
      </x:c>
      <x:c r="S38" s="56" t="str">
        <x:f>IF(AND(S$5&gt;='任务与甘特'!$T39,S$5&lt;='任务与甘特'!$U39),"■","")</x:f>
      </x:c>
      <x:c r="T38" s="56" t="str">
        <x:f>IF(AND(T$5&gt;='任务与甘特'!$T39,T$5&lt;='任务与甘特'!$U39),"■","")</x:f>
      </x:c>
      <x:c r="U38" s="56" t="str">
        <x:f>IF(AND(U$5&gt;='任务与甘特'!$T39,U$5&lt;='任务与甘特'!$U39),"■","")</x:f>
      </x:c>
      <x:c r="V38" s="56" t="str">
        <x:f>IF(AND(V$5&gt;='任务与甘特'!$T39,V$5&lt;='任务与甘特'!$U39),"■","")</x:f>
      </x:c>
      <x:c r="W38" s="56" t="str">
        <x:f>IF(AND(W$5&gt;='任务与甘特'!$T39,W$5&lt;='任务与甘特'!$U39),"■","")</x:f>
      </x:c>
      <x:c r="X38" s="56" t="str">
        <x:f>IF(AND(X$5&gt;='任务与甘特'!$T39,X$5&lt;='任务与甘特'!$U39),"■","")</x:f>
      </x:c>
      <x:c r="Y38" s="56" t="str">
        <x:f>IF(AND(Y$5&gt;='任务与甘特'!$T39,Y$5&lt;='任务与甘特'!$U39),"■","")</x:f>
      </x:c>
      <x:c r="Z38" s="56" t="str">
        <x:f>IF(AND(Z$5&gt;='任务与甘特'!$T39,Z$5&lt;='任务与甘特'!$U39),"■","")</x:f>
      </x:c>
      <x:c r="AA38" s="56" t="str">
        <x:f>IF(AND(AA$5&gt;='任务与甘特'!$T39,AA$5&lt;='任务与甘特'!$U39),"■","")</x:f>
      </x:c>
      <x:c r="AB38" s="56" t="str">
        <x:f>IF(AND(AB$5&gt;='任务与甘特'!$T39,AB$5&lt;='任务与甘特'!$U39),"■","")</x:f>
      </x:c>
      <x:c r="AC38" s="56" t="str">
        <x:f>IF(AND(AC$5&gt;='任务与甘特'!$T39,AC$5&lt;='任务与甘特'!$U39),"■","")</x:f>
      </x:c>
      <x:c r="AD38" s="56" t="str">
        <x:f>IF(AND(AD$5&gt;='任务与甘特'!$T39,AD$5&lt;='任务与甘特'!$U39),"■","")</x:f>
        <x:v>■</x:v>
      </x:c>
      <x:c r="AE38" s="56" t="str">
        <x:f>IF(AND(AE$5&gt;='任务与甘特'!$T39,AE$5&lt;='任务与甘特'!$U39),"■","")</x:f>
        <x:v>■</x:v>
      </x:c>
      <x:c r="AF38" s="56" t="str">
        <x:f>IF(AND(AF$5&gt;='任务与甘特'!$T39,AF$5&lt;='任务与甘特'!$U39),"■","")</x:f>
        <x:v>■</x:v>
      </x:c>
      <x:c r="AG38" s="56" t="str">
        <x:f>IF(AND(AG$5&gt;='任务与甘特'!$T39,AG$5&lt;='任务与甘特'!$U39),"■","")</x:f>
      </x:c>
      <x:c r="AH38" s="56" t="str">
        <x:f>IF(AND(AH$5&gt;='任务与甘特'!$T39,AH$5&lt;='任务与甘特'!$U39),"■","")</x:f>
      </x:c>
      <x:c r="AI38" s="56" t="str">
        <x:f>IF(AND(AI$5&gt;='任务与甘特'!$T39,AI$5&lt;='任务与甘特'!$U39),"■","")</x:f>
      </x:c>
      <x:c r="AJ38" s="56" t="str">
        <x:f>IF(AND(AJ$5&gt;='任务与甘特'!$T39,AJ$5&lt;='任务与甘特'!$U39),"■","")</x:f>
      </x:c>
      <x:c r="AK38" s="56" t="str">
        <x:f>IF(AND(AK$5&gt;='任务与甘特'!$T39,AK$5&lt;='任务与甘特'!$U39),"■","")</x:f>
      </x:c>
      <x:c r="AL38" s="56" t="str">
        <x:f>IF(AND(AL$5&gt;='任务与甘特'!$T39,AL$5&lt;='任务与甘特'!$U39),"■","")</x:f>
      </x:c>
      <x:c r="AM38" s="56" t="str">
        <x:f>IF(AND(AM$5&gt;='任务与甘特'!$T39,AM$5&lt;='任务与甘特'!$U39),"■","")</x:f>
      </x:c>
      <x:c r="AN38" s="56" t="str">
        <x:f>IF(AND(AN$5&gt;='任务与甘特'!$T39,AN$5&lt;='任务与甘特'!$U39),"■","")</x:f>
      </x:c>
      <x:c r="AO38" s="56" t="str">
        <x:f>IF(AND(AO$5&gt;='任务与甘特'!$T39,AO$5&lt;='任务与甘特'!$U39),"■","")</x:f>
      </x:c>
      <x:c r="AP38" s="56" t="str">
        <x:f>IF(AND(AP$5&gt;='任务与甘特'!$T39,AP$5&lt;='任务与甘特'!$U39),"■","")</x:f>
      </x:c>
    </x:row>
    <x:row r="39" ht="38" customHeight="1">
      <x:c r="A39" s="29" t="str">
        <x:f>'任务与甘特'!A40</x:f>
        <x:v>T4.7</x:v>
      </x:c>
      <x:c r="B39" s="29" t="str">
        <x:f>'任务与甘特'!B40</x:f>
        <x:v>执行容量、性能与导出测试</x:v>
      </x:c>
      <x:c r="C39" s="56" t="str">
        <x:f>IF(AND(C$5&gt;='任务与甘特'!$T40,C$5&lt;='任务与甘特'!$U40),"■","")</x:f>
      </x:c>
      <x:c r="D39" s="56" t="str">
        <x:f>IF(AND(D$5&gt;='任务与甘特'!$T40,D$5&lt;='任务与甘特'!$U40),"■","")</x:f>
      </x:c>
      <x:c r="E39" s="56" t="str">
        <x:f>IF(AND(E$5&gt;='任务与甘特'!$T40,E$5&lt;='任务与甘特'!$U40),"■","")</x:f>
      </x:c>
      <x:c r="F39" s="56" t="str">
        <x:f>IF(AND(F$5&gt;='任务与甘特'!$T40,F$5&lt;='任务与甘特'!$U40),"■","")</x:f>
      </x:c>
      <x:c r="G39" s="56" t="str">
        <x:f>IF(AND(G$5&gt;='任务与甘特'!$T40,G$5&lt;='任务与甘特'!$U40),"■","")</x:f>
      </x:c>
      <x:c r="H39" s="56" t="str">
        <x:f>IF(AND(H$5&gt;='任务与甘特'!$T40,H$5&lt;='任务与甘特'!$U40),"■","")</x:f>
      </x:c>
      <x:c r="I39" s="56" t="str">
        <x:f>IF(AND(I$5&gt;='任务与甘特'!$T40,I$5&lt;='任务与甘特'!$U40),"■","")</x:f>
      </x:c>
      <x:c r="J39" s="56" t="str">
        <x:f>IF(AND(J$5&gt;='任务与甘特'!$T40,J$5&lt;='任务与甘特'!$U40),"■","")</x:f>
      </x:c>
      <x:c r="K39" s="56" t="str">
        <x:f>IF(AND(K$5&gt;='任务与甘特'!$T40,K$5&lt;='任务与甘特'!$U40),"■","")</x:f>
      </x:c>
      <x:c r="L39" s="56" t="str">
        <x:f>IF(AND(L$5&gt;='任务与甘特'!$T40,L$5&lt;='任务与甘特'!$U40),"■","")</x:f>
      </x:c>
      <x:c r="M39" s="56" t="str">
        <x:f>IF(AND(M$5&gt;='任务与甘特'!$T40,M$5&lt;='任务与甘特'!$U40),"■","")</x:f>
      </x:c>
      <x:c r="N39" s="56" t="str">
        <x:f>IF(AND(N$5&gt;='任务与甘特'!$T40,N$5&lt;='任务与甘特'!$U40),"■","")</x:f>
      </x:c>
      <x:c r="O39" s="56" t="str">
        <x:f>IF(AND(O$5&gt;='任务与甘特'!$T40,O$5&lt;='任务与甘特'!$U40),"■","")</x:f>
      </x:c>
      <x:c r="P39" s="56" t="str">
        <x:f>IF(AND(P$5&gt;='任务与甘特'!$T40,P$5&lt;='任务与甘特'!$U40),"■","")</x:f>
      </x:c>
      <x:c r="Q39" s="56" t="str">
        <x:f>IF(AND(Q$5&gt;='任务与甘特'!$T40,Q$5&lt;='任务与甘特'!$U40),"■","")</x:f>
      </x:c>
      <x:c r="R39" s="56" t="str">
        <x:f>IF(AND(R$5&gt;='任务与甘特'!$T40,R$5&lt;='任务与甘特'!$U40),"■","")</x:f>
      </x:c>
      <x:c r="S39" s="56" t="str">
        <x:f>IF(AND(S$5&gt;='任务与甘特'!$T40,S$5&lt;='任务与甘特'!$U40),"■","")</x:f>
      </x:c>
      <x:c r="T39" s="56" t="str">
        <x:f>IF(AND(T$5&gt;='任务与甘特'!$T40,T$5&lt;='任务与甘特'!$U40),"■","")</x:f>
      </x:c>
      <x:c r="U39" s="56" t="str">
        <x:f>IF(AND(U$5&gt;='任务与甘特'!$T40,U$5&lt;='任务与甘特'!$U40),"■","")</x:f>
      </x:c>
      <x:c r="V39" s="56" t="str">
        <x:f>IF(AND(V$5&gt;='任务与甘特'!$T40,V$5&lt;='任务与甘特'!$U40),"■","")</x:f>
      </x:c>
      <x:c r="W39" s="56" t="str">
        <x:f>IF(AND(W$5&gt;='任务与甘特'!$T40,W$5&lt;='任务与甘特'!$U40),"■","")</x:f>
      </x:c>
      <x:c r="X39" s="56" t="str">
        <x:f>IF(AND(X$5&gt;='任务与甘特'!$T40,X$5&lt;='任务与甘特'!$U40),"■","")</x:f>
      </x:c>
      <x:c r="Y39" s="56" t="str">
        <x:f>IF(AND(Y$5&gt;='任务与甘特'!$T40,Y$5&lt;='任务与甘特'!$U40),"■","")</x:f>
      </x:c>
      <x:c r="Z39" s="56" t="str">
        <x:f>IF(AND(Z$5&gt;='任务与甘特'!$T40,Z$5&lt;='任务与甘特'!$U40),"■","")</x:f>
      </x:c>
      <x:c r="AA39" s="56" t="str">
        <x:f>IF(AND(AA$5&gt;='任务与甘特'!$T40,AA$5&lt;='任务与甘特'!$U40),"■","")</x:f>
      </x:c>
      <x:c r="AB39" s="56" t="str">
        <x:f>IF(AND(AB$5&gt;='任务与甘特'!$T40,AB$5&lt;='任务与甘特'!$U40),"■","")</x:f>
      </x:c>
      <x:c r="AC39" s="56" t="str">
        <x:f>IF(AND(AC$5&gt;='任务与甘特'!$T40,AC$5&lt;='任务与甘特'!$U40),"■","")</x:f>
      </x:c>
      <x:c r="AD39" s="56" t="str">
        <x:f>IF(AND(AD$5&gt;='任务与甘特'!$T40,AD$5&lt;='任务与甘特'!$U40),"■","")</x:f>
        <x:v>■</x:v>
      </x:c>
      <x:c r="AE39" s="56" t="str">
        <x:f>IF(AND(AE$5&gt;='任务与甘特'!$T40,AE$5&lt;='任务与甘特'!$U40),"■","")</x:f>
        <x:v>■</x:v>
      </x:c>
      <x:c r="AF39" s="56" t="str">
        <x:f>IF(AND(AF$5&gt;='任务与甘特'!$T40,AF$5&lt;='任务与甘特'!$U40),"■","")</x:f>
        <x:v>■</x:v>
      </x:c>
      <x:c r="AG39" s="56" t="str">
        <x:f>IF(AND(AG$5&gt;='任务与甘特'!$T40,AG$5&lt;='任务与甘特'!$U40),"■","")</x:f>
      </x:c>
      <x:c r="AH39" s="56" t="str">
        <x:f>IF(AND(AH$5&gt;='任务与甘特'!$T40,AH$5&lt;='任务与甘特'!$U40),"■","")</x:f>
      </x:c>
      <x:c r="AI39" s="56" t="str">
        <x:f>IF(AND(AI$5&gt;='任务与甘特'!$T40,AI$5&lt;='任务与甘特'!$U40),"■","")</x:f>
      </x:c>
      <x:c r="AJ39" s="56" t="str">
        <x:f>IF(AND(AJ$5&gt;='任务与甘特'!$T40,AJ$5&lt;='任务与甘特'!$U40),"■","")</x:f>
      </x:c>
      <x:c r="AK39" s="56" t="str">
        <x:f>IF(AND(AK$5&gt;='任务与甘特'!$T40,AK$5&lt;='任务与甘特'!$U40),"■","")</x:f>
      </x:c>
      <x:c r="AL39" s="56" t="str">
        <x:f>IF(AND(AL$5&gt;='任务与甘特'!$T40,AL$5&lt;='任务与甘特'!$U40),"■","")</x:f>
      </x:c>
      <x:c r="AM39" s="56" t="str">
        <x:f>IF(AND(AM$5&gt;='任务与甘特'!$T40,AM$5&lt;='任务与甘特'!$U40),"■","")</x:f>
      </x:c>
      <x:c r="AN39" s="56" t="str">
        <x:f>IF(AND(AN$5&gt;='任务与甘特'!$T40,AN$5&lt;='任务与甘特'!$U40),"■","")</x:f>
      </x:c>
      <x:c r="AO39" s="56" t="str">
        <x:f>IF(AND(AO$5&gt;='任务与甘特'!$T40,AO$5&lt;='任务与甘特'!$U40),"■","")</x:f>
      </x:c>
      <x:c r="AP39" s="56" t="str">
        <x:f>IF(AND(AP$5&gt;='任务与甘特'!$T40,AP$5&lt;='任务与甘特'!$U40),"■","")</x:f>
      </x:c>
    </x:row>
    <x:row r="40" ht="38" customHeight="1">
      <x:c r="A40" s="29" t="str">
        <x:f>'任务与甘特'!A41</x:f>
        <x:v>T4.8</x:v>
      </x:c>
      <x:c r="B40" s="29" t="str">
        <x:f>'任务与甘特'!B41</x:f>
        <x:v>验证备份恢复与72小时运行</x:v>
      </x:c>
      <x:c r="C40" s="56" t="str">
        <x:f>IF(AND(C$5&gt;='任务与甘特'!$T41,C$5&lt;='任务与甘特'!$U41),"■","")</x:f>
      </x:c>
      <x:c r="D40" s="56" t="str">
        <x:f>IF(AND(D$5&gt;='任务与甘特'!$T41,D$5&lt;='任务与甘特'!$U41),"■","")</x:f>
      </x:c>
      <x:c r="E40" s="56" t="str">
        <x:f>IF(AND(E$5&gt;='任务与甘特'!$T41,E$5&lt;='任务与甘特'!$U41),"■","")</x:f>
      </x:c>
      <x:c r="F40" s="56" t="str">
        <x:f>IF(AND(F$5&gt;='任务与甘特'!$T41,F$5&lt;='任务与甘特'!$U41),"■","")</x:f>
      </x:c>
      <x:c r="G40" s="56" t="str">
        <x:f>IF(AND(G$5&gt;='任务与甘特'!$T41,G$5&lt;='任务与甘特'!$U41),"■","")</x:f>
      </x:c>
      <x:c r="H40" s="56" t="str">
        <x:f>IF(AND(H$5&gt;='任务与甘特'!$T41,H$5&lt;='任务与甘特'!$U41),"■","")</x:f>
      </x:c>
      <x:c r="I40" s="56" t="str">
        <x:f>IF(AND(I$5&gt;='任务与甘特'!$T41,I$5&lt;='任务与甘特'!$U41),"■","")</x:f>
      </x:c>
      <x:c r="J40" s="56" t="str">
        <x:f>IF(AND(J$5&gt;='任务与甘特'!$T41,J$5&lt;='任务与甘特'!$U41),"■","")</x:f>
      </x:c>
      <x:c r="K40" s="56" t="str">
        <x:f>IF(AND(K$5&gt;='任务与甘特'!$T41,K$5&lt;='任务与甘特'!$U41),"■","")</x:f>
      </x:c>
      <x:c r="L40" s="56" t="str">
        <x:f>IF(AND(L$5&gt;='任务与甘特'!$T41,L$5&lt;='任务与甘特'!$U41),"■","")</x:f>
      </x:c>
      <x:c r="M40" s="56" t="str">
        <x:f>IF(AND(M$5&gt;='任务与甘特'!$T41,M$5&lt;='任务与甘特'!$U41),"■","")</x:f>
      </x:c>
      <x:c r="N40" s="56" t="str">
        <x:f>IF(AND(N$5&gt;='任务与甘特'!$T41,N$5&lt;='任务与甘特'!$U41),"■","")</x:f>
      </x:c>
      <x:c r="O40" s="56" t="str">
        <x:f>IF(AND(O$5&gt;='任务与甘特'!$T41,O$5&lt;='任务与甘特'!$U41),"■","")</x:f>
      </x:c>
      <x:c r="P40" s="56" t="str">
        <x:f>IF(AND(P$5&gt;='任务与甘特'!$T41,P$5&lt;='任务与甘特'!$U41),"■","")</x:f>
      </x:c>
      <x:c r="Q40" s="56" t="str">
        <x:f>IF(AND(Q$5&gt;='任务与甘特'!$T41,Q$5&lt;='任务与甘特'!$U41),"■","")</x:f>
      </x:c>
      <x:c r="R40" s="56" t="str">
        <x:f>IF(AND(R$5&gt;='任务与甘特'!$T41,R$5&lt;='任务与甘特'!$U41),"■","")</x:f>
      </x:c>
      <x:c r="S40" s="56" t="str">
        <x:f>IF(AND(S$5&gt;='任务与甘特'!$T41,S$5&lt;='任务与甘特'!$U41),"■","")</x:f>
      </x:c>
      <x:c r="T40" s="56" t="str">
        <x:f>IF(AND(T$5&gt;='任务与甘特'!$T41,T$5&lt;='任务与甘特'!$U41),"■","")</x:f>
      </x:c>
      <x:c r="U40" s="56" t="str">
        <x:f>IF(AND(U$5&gt;='任务与甘特'!$T41,U$5&lt;='任务与甘特'!$U41),"■","")</x:f>
      </x:c>
      <x:c r="V40" s="56" t="str">
        <x:f>IF(AND(V$5&gt;='任务与甘特'!$T41,V$5&lt;='任务与甘特'!$U41),"■","")</x:f>
      </x:c>
      <x:c r="W40" s="56" t="str">
        <x:f>IF(AND(W$5&gt;='任务与甘特'!$T41,W$5&lt;='任务与甘特'!$U41),"■","")</x:f>
      </x:c>
      <x:c r="X40" s="56" t="str">
        <x:f>IF(AND(X$5&gt;='任务与甘特'!$T41,X$5&lt;='任务与甘特'!$U41),"■","")</x:f>
      </x:c>
      <x:c r="Y40" s="56" t="str">
        <x:f>IF(AND(Y$5&gt;='任务与甘特'!$T41,Y$5&lt;='任务与甘特'!$U41),"■","")</x:f>
      </x:c>
      <x:c r="Z40" s="56" t="str">
        <x:f>IF(AND(Z$5&gt;='任务与甘特'!$T41,Z$5&lt;='任务与甘特'!$U41),"■","")</x:f>
      </x:c>
      <x:c r="AA40" s="56" t="str">
        <x:f>IF(AND(AA$5&gt;='任务与甘特'!$T41,AA$5&lt;='任务与甘特'!$U41),"■","")</x:f>
      </x:c>
      <x:c r="AB40" s="56" t="str">
        <x:f>IF(AND(AB$5&gt;='任务与甘特'!$T41,AB$5&lt;='任务与甘特'!$U41),"■","")</x:f>
      </x:c>
      <x:c r="AC40" s="56" t="str">
        <x:f>IF(AND(AC$5&gt;='任务与甘特'!$T41,AC$5&lt;='任务与甘特'!$U41),"■","")</x:f>
      </x:c>
      <x:c r="AD40" s="56" t="str">
        <x:f>IF(AND(AD$5&gt;='任务与甘特'!$T41,AD$5&lt;='任务与甘特'!$U41),"■","")</x:f>
      </x:c>
      <x:c r="AE40" s="56" t="str">
        <x:f>IF(AND(AE$5&gt;='任务与甘特'!$T41,AE$5&lt;='任务与甘特'!$U41),"■","")</x:f>
      </x:c>
      <x:c r="AF40" s="56" t="str">
        <x:f>IF(AND(AF$5&gt;='任务与甘特'!$T41,AF$5&lt;='任务与甘特'!$U41),"■","")</x:f>
        <x:v>■</x:v>
      </x:c>
      <x:c r="AG40" s="56" t="str">
        <x:f>IF(AND(AG$5&gt;='任务与甘特'!$T41,AG$5&lt;='任务与甘特'!$U41),"■","")</x:f>
        <x:v>■</x:v>
      </x:c>
      <x:c r="AH40" s="56" t="str">
        <x:f>IF(AND(AH$5&gt;='任务与甘特'!$T41,AH$5&lt;='任务与甘特'!$U41),"■","")</x:f>
        <x:v>■</x:v>
      </x:c>
      <x:c r="AI40" s="56" t="str">
        <x:f>IF(AND(AI$5&gt;='任务与甘特'!$T41,AI$5&lt;='任务与甘特'!$U41),"■","")</x:f>
        <x:v>■</x:v>
      </x:c>
      <x:c r="AJ40" s="56" t="str">
        <x:f>IF(AND(AJ$5&gt;='任务与甘特'!$T41,AJ$5&lt;='任务与甘特'!$U41),"■","")</x:f>
      </x:c>
      <x:c r="AK40" s="56" t="str">
        <x:f>IF(AND(AK$5&gt;='任务与甘特'!$T41,AK$5&lt;='任务与甘特'!$U41),"■","")</x:f>
      </x:c>
      <x:c r="AL40" s="56" t="str">
        <x:f>IF(AND(AL$5&gt;='任务与甘特'!$T41,AL$5&lt;='任务与甘特'!$U41),"■","")</x:f>
      </x:c>
      <x:c r="AM40" s="56" t="str">
        <x:f>IF(AND(AM$5&gt;='任务与甘特'!$T41,AM$5&lt;='任务与甘特'!$U41),"■","")</x:f>
      </x:c>
      <x:c r="AN40" s="56" t="str">
        <x:f>IF(AND(AN$5&gt;='任务与甘特'!$T41,AN$5&lt;='任务与甘特'!$U41),"■","")</x:f>
      </x:c>
      <x:c r="AO40" s="56" t="str">
        <x:f>IF(AND(AO$5&gt;='任务与甘特'!$T41,AO$5&lt;='任务与甘特'!$U41),"■","")</x:f>
      </x:c>
      <x:c r="AP40" s="56" t="str">
        <x:f>IF(AND(AP$5&gt;='任务与甘特'!$T41,AP$5&lt;='任务与甘特'!$U41),"■","")</x:f>
      </x:c>
    </x:row>
    <x:row r="41" ht="38" customHeight="1">
      <x:c r="A41" s="29" t="str">
        <x:f>'任务与甘特'!A42</x:f>
        <x:v>T4.9</x:v>
      </x:c>
      <x:c r="B41" s="29" t="str">
        <x:f>'任务与甘特'!B42</x:f>
        <x:v>验证兼容、部署与监控</x:v>
      </x:c>
      <x:c r="C41" s="56" t="str">
        <x:f>IF(AND(C$5&gt;='任务与甘特'!$T42,C$5&lt;='任务与甘特'!$U42),"■","")</x:f>
      </x:c>
      <x:c r="D41" s="56" t="str">
        <x:f>IF(AND(D$5&gt;='任务与甘特'!$T42,D$5&lt;='任务与甘特'!$U42),"■","")</x:f>
      </x:c>
      <x:c r="E41" s="56" t="str">
        <x:f>IF(AND(E$5&gt;='任务与甘特'!$T42,E$5&lt;='任务与甘特'!$U42),"■","")</x:f>
      </x:c>
      <x:c r="F41" s="56" t="str">
        <x:f>IF(AND(F$5&gt;='任务与甘特'!$T42,F$5&lt;='任务与甘特'!$U42),"■","")</x:f>
      </x:c>
      <x:c r="G41" s="56" t="str">
        <x:f>IF(AND(G$5&gt;='任务与甘特'!$T42,G$5&lt;='任务与甘特'!$U42),"■","")</x:f>
      </x:c>
      <x:c r="H41" s="56" t="str">
        <x:f>IF(AND(H$5&gt;='任务与甘特'!$T42,H$5&lt;='任务与甘特'!$U42),"■","")</x:f>
      </x:c>
      <x:c r="I41" s="56" t="str">
        <x:f>IF(AND(I$5&gt;='任务与甘特'!$T42,I$5&lt;='任务与甘特'!$U42),"■","")</x:f>
      </x:c>
      <x:c r="J41" s="56" t="str">
        <x:f>IF(AND(J$5&gt;='任务与甘特'!$T42,J$5&lt;='任务与甘特'!$U42),"■","")</x:f>
      </x:c>
      <x:c r="K41" s="56" t="str">
        <x:f>IF(AND(K$5&gt;='任务与甘特'!$T42,K$5&lt;='任务与甘特'!$U42),"■","")</x:f>
      </x:c>
      <x:c r="L41" s="56" t="str">
        <x:f>IF(AND(L$5&gt;='任务与甘特'!$T42,L$5&lt;='任务与甘特'!$U42),"■","")</x:f>
      </x:c>
      <x:c r="M41" s="56" t="str">
        <x:f>IF(AND(M$5&gt;='任务与甘特'!$T42,M$5&lt;='任务与甘特'!$U42),"■","")</x:f>
      </x:c>
      <x:c r="N41" s="56" t="str">
        <x:f>IF(AND(N$5&gt;='任务与甘特'!$T42,N$5&lt;='任务与甘特'!$U42),"■","")</x:f>
      </x:c>
      <x:c r="O41" s="56" t="str">
        <x:f>IF(AND(O$5&gt;='任务与甘特'!$T42,O$5&lt;='任务与甘特'!$U42),"■","")</x:f>
      </x:c>
      <x:c r="P41" s="56" t="str">
        <x:f>IF(AND(P$5&gt;='任务与甘特'!$T42,P$5&lt;='任务与甘特'!$U42),"■","")</x:f>
      </x:c>
      <x:c r="Q41" s="56" t="str">
        <x:f>IF(AND(Q$5&gt;='任务与甘特'!$T42,Q$5&lt;='任务与甘特'!$U42),"■","")</x:f>
      </x:c>
      <x:c r="R41" s="56" t="str">
        <x:f>IF(AND(R$5&gt;='任务与甘特'!$T42,R$5&lt;='任务与甘特'!$U42),"■","")</x:f>
      </x:c>
      <x:c r="S41" s="56" t="str">
        <x:f>IF(AND(S$5&gt;='任务与甘特'!$T42,S$5&lt;='任务与甘特'!$U42),"■","")</x:f>
      </x:c>
      <x:c r="T41" s="56" t="str">
        <x:f>IF(AND(T$5&gt;='任务与甘特'!$T42,T$5&lt;='任务与甘特'!$U42),"■","")</x:f>
      </x:c>
      <x:c r="U41" s="56" t="str">
        <x:f>IF(AND(U$5&gt;='任务与甘特'!$T42,U$5&lt;='任务与甘特'!$U42),"■","")</x:f>
      </x:c>
      <x:c r="V41" s="56" t="str">
        <x:f>IF(AND(V$5&gt;='任务与甘特'!$T42,V$5&lt;='任务与甘特'!$U42),"■","")</x:f>
      </x:c>
      <x:c r="W41" s="56" t="str">
        <x:f>IF(AND(W$5&gt;='任务与甘特'!$T42,W$5&lt;='任务与甘特'!$U42),"■","")</x:f>
      </x:c>
      <x:c r="X41" s="56" t="str">
        <x:f>IF(AND(X$5&gt;='任务与甘特'!$T42,X$5&lt;='任务与甘特'!$U42),"■","")</x:f>
      </x:c>
      <x:c r="Y41" s="56" t="str">
        <x:f>IF(AND(Y$5&gt;='任务与甘特'!$T42,Y$5&lt;='任务与甘特'!$U42),"■","")</x:f>
      </x:c>
      <x:c r="Z41" s="56" t="str">
        <x:f>IF(AND(Z$5&gt;='任务与甘特'!$T42,Z$5&lt;='任务与甘特'!$U42),"■","")</x:f>
      </x:c>
      <x:c r="AA41" s="56" t="str">
        <x:f>IF(AND(AA$5&gt;='任务与甘特'!$T42,AA$5&lt;='任务与甘特'!$U42),"■","")</x:f>
      </x:c>
      <x:c r="AB41" s="56" t="str">
        <x:f>IF(AND(AB$5&gt;='任务与甘特'!$T42,AB$5&lt;='任务与甘特'!$U42),"■","")</x:f>
      </x:c>
      <x:c r="AC41" s="56" t="str">
        <x:f>IF(AND(AC$5&gt;='任务与甘特'!$T42,AC$5&lt;='任务与甘特'!$U42),"■","")</x:f>
      </x:c>
      <x:c r="AD41" s="56" t="str">
        <x:f>IF(AND(AD$5&gt;='任务与甘特'!$T42,AD$5&lt;='任务与甘特'!$U42),"■","")</x:f>
        <x:v>■</x:v>
      </x:c>
      <x:c r="AE41" s="56" t="str">
        <x:f>IF(AND(AE$5&gt;='任务与甘特'!$T42,AE$5&lt;='任务与甘特'!$U42),"■","")</x:f>
        <x:v>■</x:v>
      </x:c>
      <x:c r="AF41" s="56" t="str">
        <x:f>IF(AND(AF$5&gt;='任务与甘特'!$T42,AF$5&lt;='任务与甘特'!$U42),"■","")</x:f>
      </x:c>
      <x:c r="AG41" s="56" t="str">
        <x:f>IF(AND(AG$5&gt;='任务与甘特'!$T42,AG$5&lt;='任务与甘特'!$U42),"■","")</x:f>
      </x:c>
      <x:c r="AH41" s="56" t="str">
        <x:f>IF(AND(AH$5&gt;='任务与甘特'!$T42,AH$5&lt;='任务与甘特'!$U42),"■","")</x:f>
      </x:c>
      <x:c r="AI41" s="56" t="str">
        <x:f>IF(AND(AI$5&gt;='任务与甘特'!$T42,AI$5&lt;='任务与甘特'!$U42),"■","")</x:f>
      </x:c>
      <x:c r="AJ41" s="56" t="str">
        <x:f>IF(AND(AJ$5&gt;='任务与甘特'!$T42,AJ$5&lt;='任务与甘特'!$U42),"■","")</x:f>
      </x:c>
      <x:c r="AK41" s="56" t="str">
        <x:f>IF(AND(AK$5&gt;='任务与甘特'!$T42,AK$5&lt;='任务与甘特'!$U42),"■","")</x:f>
      </x:c>
      <x:c r="AL41" s="56" t="str">
        <x:f>IF(AND(AL$5&gt;='任务与甘特'!$T42,AL$5&lt;='任务与甘特'!$U42),"■","")</x:f>
      </x:c>
      <x:c r="AM41" s="56" t="str">
        <x:f>IF(AND(AM$5&gt;='任务与甘特'!$T42,AM$5&lt;='任务与甘特'!$U42),"■","")</x:f>
      </x:c>
      <x:c r="AN41" s="56" t="str">
        <x:f>IF(AND(AN$5&gt;='任务与甘特'!$T42,AN$5&lt;='任务与甘特'!$U42),"■","")</x:f>
      </x:c>
      <x:c r="AO41" s="56" t="str">
        <x:f>IF(AND(AO$5&gt;='任务与甘特'!$T42,AO$5&lt;='任务与甘特'!$U42),"■","")</x:f>
      </x:c>
      <x:c r="AP41" s="56" t="str">
        <x:f>IF(AND(AP$5&gt;='任务与甘特'!$T42,AP$5&lt;='任务与甘特'!$U42),"■","")</x:f>
      </x:c>
    </x:row>
    <x:row r="42" ht="38" customHeight="1">
      <x:c r="A42" s="29" t="str">
        <x:f>'任务与甘特'!A43</x:f>
        <x:v>T4.10</x:v>
      </x:c>
      <x:c r="B42" s="29" t="str">
        <x:f>'任务与甘特'!B43</x:f>
        <x:v>修复缺陷并复核需求覆盖</x:v>
      </x:c>
      <x:c r="C42" s="56" t="str">
        <x:f>IF(AND(C$5&gt;='任务与甘特'!$T43,C$5&lt;='任务与甘特'!$U43),"■","")</x:f>
      </x:c>
      <x:c r="D42" s="56" t="str">
        <x:f>IF(AND(D$5&gt;='任务与甘特'!$T43,D$5&lt;='任务与甘特'!$U43),"■","")</x:f>
      </x:c>
      <x:c r="E42" s="56" t="str">
        <x:f>IF(AND(E$5&gt;='任务与甘特'!$T43,E$5&lt;='任务与甘特'!$U43),"■","")</x:f>
      </x:c>
      <x:c r="F42" s="56" t="str">
        <x:f>IF(AND(F$5&gt;='任务与甘特'!$T43,F$5&lt;='任务与甘特'!$U43),"■","")</x:f>
      </x:c>
      <x:c r="G42" s="56" t="str">
        <x:f>IF(AND(G$5&gt;='任务与甘特'!$T43,G$5&lt;='任务与甘特'!$U43),"■","")</x:f>
      </x:c>
      <x:c r="H42" s="56" t="str">
        <x:f>IF(AND(H$5&gt;='任务与甘特'!$T43,H$5&lt;='任务与甘特'!$U43),"■","")</x:f>
      </x:c>
      <x:c r="I42" s="56" t="str">
        <x:f>IF(AND(I$5&gt;='任务与甘特'!$T43,I$5&lt;='任务与甘特'!$U43),"■","")</x:f>
      </x:c>
      <x:c r="J42" s="56" t="str">
        <x:f>IF(AND(J$5&gt;='任务与甘特'!$T43,J$5&lt;='任务与甘特'!$U43),"■","")</x:f>
      </x:c>
      <x:c r="K42" s="56" t="str">
        <x:f>IF(AND(K$5&gt;='任务与甘特'!$T43,K$5&lt;='任务与甘特'!$U43),"■","")</x:f>
      </x:c>
      <x:c r="L42" s="56" t="str">
        <x:f>IF(AND(L$5&gt;='任务与甘特'!$T43,L$5&lt;='任务与甘特'!$U43),"■","")</x:f>
      </x:c>
      <x:c r="M42" s="56" t="str">
        <x:f>IF(AND(M$5&gt;='任务与甘特'!$T43,M$5&lt;='任务与甘特'!$U43),"■","")</x:f>
      </x:c>
      <x:c r="N42" s="56" t="str">
        <x:f>IF(AND(N$5&gt;='任务与甘特'!$T43,N$5&lt;='任务与甘特'!$U43),"■","")</x:f>
      </x:c>
      <x:c r="O42" s="56" t="str">
        <x:f>IF(AND(O$5&gt;='任务与甘特'!$T43,O$5&lt;='任务与甘特'!$U43),"■","")</x:f>
      </x:c>
      <x:c r="P42" s="56" t="str">
        <x:f>IF(AND(P$5&gt;='任务与甘特'!$T43,P$5&lt;='任务与甘特'!$U43),"■","")</x:f>
      </x:c>
      <x:c r="Q42" s="56" t="str">
        <x:f>IF(AND(Q$5&gt;='任务与甘特'!$T43,Q$5&lt;='任务与甘特'!$U43),"■","")</x:f>
      </x:c>
      <x:c r="R42" s="56" t="str">
        <x:f>IF(AND(R$5&gt;='任务与甘特'!$T43,R$5&lt;='任务与甘特'!$U43),"■","")</x:f>
      </x:c>
      <x:c r="S42" s="56" t="str">
        <x:f>IF(AND(S$5&gt;='任务与甘特'!$T43,S$5&lt;='任务与甘特'!$U43),"■","")</x:f>
      </x:c>
      <x:c r="T42" s="56" t="str">
        <x:f>IF(AND(T$5&gt;='任务与甘特'!$T43,T$5&lt;='任务与甘特'!$U43),"■","")</x:f>
      </x:c>
      <x:c r="U42" s="56" t="str">
        <x:f>IF(AND(U$5&gt;='任务与甘特'!$T43,U$5&lt;='任务与甘特'!$U43),"■","")</x:f>
      </x:c>
      <x:c r="V42" s="56" t="str">
        <x:f>IF(AND(V$5&gt;='任务与甘特'!$T43,V$5&lt;='任务与甘特'!$U43),"■","")</x:f>
      </x:c>
      <x:c r="W42" s="56" t="str">
        <x:f>IF(AND(W$5&gt;='任务与甘特'!$T43,W$5&lt;='任务与甘特'!$U43),"■","")</x:f>
      </x:c>
      <x:c r="X42" s="56" t="str">
        <x:f>IF(AND(X$5&gt;='任务与甘特'!$T43,X$5&lt;='任务与甘特'!$U43),"■","")</x:f>
      </x:c>
      <x:c r="Y42" s="56" t="str">
        <x:f>IF(AND(Y$5&gt;='任务与甘特'!$T43,Y$5&lt;='任务与甘特'!$U43),"■","")</x:f>
      </x:c>
      <x:c r="Z42" s="56" t="str">
        <x:f>IF(AND(Z$5&gt;='任务与甘特'!$T43,Z$5&lt;='任务与甘特'!$U43),"■","")</x:f>
      </x:c>
      <x:c r="AA42" s="56" t="str">
        <x:f>IF(AND(AA$5&gt;='任务与甘特'!$T43,AA$5&lt;='任务与甘特'!$U43),"■","")</x:f>
      </x:c>
      <x:c r="AB42" s="56" t="str">
        <x:f>IF(AND(AB$5&gt;='任务与甘特'!$T43,AB$5&lt;='任务与甘特'!$U43),"■","")</x:f>
      </x:c>
      <x:c r="AC42" s="56" t="str">
        <x:f>IF(AND(AC$5&gt;='任务与甘特'!$T43,AC$5&lt;='任务与甘特'!$U43),"■","")</x:f>
      </x:c>
      <x:c r="AD42" s="56" t="str">
        <x:f>IF(AND(AD$5&gt;='任务与甘特'!$T43,AD$5&lt;='任务与甘特'!$U43),"■","")</x:f>
      </x:c>
      <x:c r="AE42" s="56" t="str">
        <x:f>IF(AND(AE$5&gt;='任务与甘特'!$T43,AE$5&lt;='任务与甘特'!$U43),"■","")</x:f>
      </x:c>
      <x:c r="AF42" s="56" t="str">
        <x:f>IF(AND(AF$5&gt;='任务与甘特'!$T43,AF$5&lt;='任务与甘特'!$U43),"■","")</x:f>
      </x:c>
      <x:c r="AG42" s="56" t="str">
        <x:f>IF(AND(AG$5&gt;='任务与甘特'!$T43,AG$5&lt;='任务与甘特'!$U43),"■","")</x:f>
      </x:c>
      <x:c r="AH42" s="56" t="str">
        <x:f>IF(AND(AH$5&gt;='任务与甘特'!$T43,AH$5&lt;='任务与甘特'!$U43),"■","")</x:f>
      </x:c>
      <x:c r="AI42" s="56" t="str">
        <x:f>IF(AND(AI$5&gt;='任务与甘特'!$T43,AI$5&lt;='任务与甘特'!$U43),"■","")</x:f>
      </x:c>
      <x:c r="AJ42" s="56" t="str">
        <x:f>IF(AND(AJ$5&gt;='任务与甘特'!$T43,AJ$5&lt;='任务与甘特'!$U43),"■","")</x:f>
        <x:v>■</x:v>
      </x:c>
      <x:c r="AK42" s="56" t="str">
        <x:f>IF(AND(AK$5&gt;='任务与甘特'!$T43,AK$5&lt;='任务与甘特'!$U43),"■","")</x:f>
        <x:v>■</x:v>
      </x:c>
      <x:c r="AL42" s="56" t="str">
        <x:f>IF(AND(AL$5&gt;='任务与甘特'!$T43,AL$5&lt;='任务与甘特'!$U43),"■","")</x:f>
        <x:v>■</x:v>
      </x:c>
      <x:c r="AM42" s="56" t="str">
        <x:f>IF(AND(AM$5&gt;='任务与甘特'!$T43,AM$5&lt;='任务与甘特'!$U43),"■","")</x:f>
      </x:c>
      <x:c r="AN42" s="56" t="str">
        <x:f>IF(AND(AN$5&gt;='任务与甘特'!$T43,AN$5&lt;='任务与甘特'!$U43),"■","")</x:f>
      </x:c>
      <x:c r="AO42" s="56" t="str">
        <x:f>IF(AND(AO$5&gt;='任务与甘特'!$T43,AO$5&lt;='任务与甘特'!$U43),"■","")</x:f>
      </x:c>
      <x:c r="AP42" s="56" t="str">
        <x:f>IF(AND(AP$5&gt;='任务与甘特'!$T43,AP$5&lt;='任务与甘特'!$U43),"■","")</x:f>
      </x:c>
    </x:row>
    <x:row r="43" ht="38" customHeight="1">
      <x:c r="A43" s="29" t="str">
        <x:f>'任务与甘特'!A44</x:f>
        <x:v>T5.1</x:v>
      </x:c>
      <x:c r="B43" s="29" t="str">
        <x:f>'任务与甘特'!B44</x:f>
        <x:v>部署拟定试运行环境</x:v>
      </x:c>
      <x:c r="C43" s="56" t="str">
        <x:f>IF(AND(C$5&gt;='任务与甘特'!$T44,C$5&lt;='任务与甘特'!$U44),"■","")</x:f>
      </x:c>
      <x:c r="D43" s="56" t="str">
        <x:f>IF(AND(D$5&gt;='任务与甘特'!$T44,D$5&lt;='任务与甘特'!$U44),"■","")</x:f>
      </x:c>
      <x:c r="E43" s="56" t="str">
        <x:f>IF(AND(E$5&gt;='任务与甘特'!$T44,E$5&lt;='任务与甘特'!$U44),"■","")</x:f>
      </x:c>
      <x:c r="F43" s="56" t="str">
        <x:f>IF(AND(F$5&gt;='任务与甘特'!$T44,F$5&lt;='任务与甘特'!$U44),"■","")</x:f>
      </x:c>
      <x:c r="G43" s="56" t="str">
        <x:f>IF(AND(G$5&gt;='任务与甘特'!$T44,G$5&lt;='任务与甘特'!$U44),"■","")</x:f>
      </x:c>
      <x:c r="H43" s="56" t="str">
        <x:f>IF(AND(H$5&gt;='任务与甘特'!$T44,H$5&lt;='任务与甘特'!$U44),"■","")</x:f>
      </x:c>
      <x:c r="I43" s="56" t="str">
        <x:f>IF(AND(I$5&gt;='任务与甘特'!$T44,I$5&lt;='任务与甘特'!$U44),"■","")</x:f>
      </x:c>
      <x:c r="J43" s="56" t="str">
        <x:f>IF(AND(J$5&gt;='任务与甘特'!$T44,J$5&lt;='任务与甘特'!$U44),"■","")</x:f>
      </x:c>
      <x:c r="K43" s="56" t="str">
        <x:f>IF(AND(K$5&gt;='任务与甘特'!$T44,K$5&lt;='任务与甘特'!$U44),"■","")</x:f>
      </x:c>
      <x:c r="L43" s="56" t="str">
        <x:f>IF(AND(L$5&gt;='任务与甘特'!$T44,L$5&lt;='任务与甘特'!$U44),"■","")</x:f>
      </x:c>
      <x:c r="M43" s="56" t="str">
        <x:f>IF(AND(M$5&gt;='任务与甘特'!$T44,M$5&lt;='任务与甘特'!$U44),"■","")</x:f>
      </x:c>
      <x:c r="N43" s="56" t="str">
        <x:f>IF(AND(N$5&gt;='任务与甘特'!$T44,N$5&lt;='任务与甘特'!$U44),"■","")</x:f>
      </x:c>
      <x:c r="O43" s="56" t="str">
        <x:f>IF(AND(O$5&gt;='任务与甘特'!$T44,O$5&lt;='任务与甘特'!$U44),"■","")</x:f>
      </x:c>
      <x:c r="P43" s="56" t="str">
        <x:f>IF(AND(P$5&gt;='任务与甘特'!$T44,P$5&lt;='任务与甘特'!$U44),"■","")</x:f>
      </x:c>
      <x:c r="Q43" s="56" t="str">
        <x:f>IF(AND(Q$5&gt;='任务与甘特'!$T44,Q$5&lt;='任务与甘特'!$U44),"■","")</x:f>
      </x:c>
      <x:c r="R43" s="56" t="str">
        <x:f>IF(AND(R$5&gt;='任务与甘特'!$T44,R$5&lt;='任务与甘特'!$U44),"■","")</x:f>
      </x:c>
      <x:c r="S43" s="56" t="str">
        <x:f>IF(AND(S$5&gt;='任务与甘特'!$T44,S$5&lt;='任务与甘特'!$U44),"■","")</x:f>
      </x:c>
      <x:c r="T43" s="56" t="str">
        <x:f>IF(AND(T$5&gt;='任务与甘特'!$T44,T$5&lt;='任务与甘特'!$U44),"■","")</x:f>
      </x:c>
      <x:c r="U43" s="56" t="str">
        <x:f>IF(AND(U$5&gt;='任务与甘特'!$T44,U$5&lt;='任务与甘特'!$U44),"■","")</x:f>
      </x:c>
      <x:c r="V43" s="56" t="str">
        <x:f>IF(AND(V$5&gt;='任务与甘特'!$T44,V$5&lt;='任务与甘特'!$U44),"■","")</x:f>
      </x:c>
      <x:c r="W43" s="56" t="str">
        <x:f>IF(AND(W$5&gt;='任务与甘特'!$T44,W$5&lt;='任务与甘特'!$U44),"■","")</x:f>
      </x:c>
      <x:c r="X43" s="56" t="str">
        <x:f>IF(AND(X$5&gt;='任务与甘特'!$T44,X$5&lt;='任务与甘特'!$U44),"■","")</x:f>
      </x:c>
      <x:c r="Y43" s="56" t="str">
        <x:f>IF(AND(Y$5&gt;='任务与甘特'!$T44,Y$5&lt;='任务与甘特'!$U44),"■","")</x:f>
      </x:c>
      <x:c r="Z43" s="56" t="str">
        <x:f>IF(AND(Z$5&gt;='任务与甘特'!$T44,Z$5&lt;='任务与甘特'!$U44),"■","")</x:f>
      </x:c>
      <x:c r="AA43" s="56" t="str">
        <x:f>IF(AND(AA$5&gt;='任务与甘特'!$T44,AA$5&lt;='任务与甘特'!$U44),"■","")</x:f>
      </x:c>
      <x:c r="AB43" s="56" t="str">
        <x:f>IF(AND(AB$5&gt;='任务与甘特'!$T44,AB$5&lt;='任务与甘特'!$U44),"■","")</x:f>
        <x:v>■</x:v>
      </x:c>
      <x:c r="AC43" s="56" t="str">
        <x:f>IF(AND(AC$5&gt;='任务与甘特'!$T44,AC$5&lt;='任务与甘特'!$U44),"■","")</x:f>
        <x:v>■</x:v>
      </x:c>
      <x:c r="AD43" s="56" t="str">
        <x:f>IF(AND(AD$5&gt;='任务与甘特'!$T44,AD$5&lt;='任务与甘特'!$U44),"■","")</x:f>
      </x:c>
      <x:c r="AE43" s="56" t="str">
        <x:f>IF(AND(AE$5&gt;='任务与甘特'!$T44,AE$5&lt;='任务与甘特'!$U44),"■","")</x:f>
      </x:c>
      <x:c r="AF43" s="56" t="str">
        <x:f>IF(AND(AF$5&gt;='任务与甘特'!$T44,AF$5&lt;='任务与甘特'!$U44),"■","")</x:f>
      </x:c>
      <x:c r="AG43" s="56" t="str">
        <x:f>IF(AND(AG$5&gt;='任务与甘特'!$T44,AG$5&lt;='任务与甘特'!$U44),"■","")</x:f>
      </x:c>
      <x:c r="AH43" s="56" t="str">
        <x:f>IF(AND(AH$5&gt;='任务与甘特'!$T44,AH$5&lt;='任务与甘特'!$U44),"■","")</x:f>
      </x:c>
      <x:c r="AI43" s="56" t="str">
        <x:f>IF(AND(AI$5&gt;='任务与甘特'!$T44,AI$5&lt;='任务与甘特'!$U44),"■","")</x:f>
      </x:c>
      <x:c r="AJ43" s="56" t="str">
        <x:f>IF(AND(AJ$5&gt;='任务与甘特'!$T44,AJ$5&lt;='任务与甘特'!$U44),"■","")</x:f>
      </x:c>
      <x:c r="AK43" s="56" t="str">
        <x:f>IF(AND(AK$5&gt;='任务与甘特'!$T44,AK$5&lt;='任务与甘特'!$U44),"■","")</x:f>
      </x:c>
      <x:c r="AL43" s="56" t="str">
        <x:f>IF(AND(AL$5&gt;='任务与甘特'!$T44,AL$5&lt;='任务与甘特'!$U44),"■","")</x:f>
      </x:c>
      <x:c r="AM43" s="56" t="str">
        <x:f>IF(AND(AM$5&gt;='任务与甘特'!$T44,AM$5&lt;='任务与甘特'!$U44),"■","")</x:f>
      </x:c>
      <x:c r="AN43" s="56" t="str">
        <x:f>IF(AND(AN$5&gt;='任务与甘特'!$T44,AN$5&lt;='任务与甘特'!$U44),"■","")</x:f>
      </x:c>
      <x:c r="AO43" s="56" t="str">
        <x:f>IF(AND(AO$5&gt;='任务与甘特'!$T44,AO$5&lt;='任务与甘特'!$U44),"■","")</x:f>
      </x:c>
      <x:c r="AP43" s="56" t="str">
        <x:f>IF(AND(AP$5&gt;='任务与甘特'!$T44,AP$5&lt;='任务与甘特'!$U44),"■","")</x:f>
      </x:c>
    </x:row>
    <x:row r="44" ht="38" customHeight="1">
      <x:c r="A44" s="29" t="str">
        <x:f>'任务与甘特'!A45</x:f>
        <x:v>T5.2</x:v>
      </x:c>
      <x:c r="B44" s="29" t="str">
        <x:f>'任务与甘特'!B45</x:f>
        <x:v>安排业务试运行与反馈</x:v>
      </x:c>
      <x:c r="C44" s="56" t="str">
        <x:f>IF(AND(C$5&gt;='任务与甘特'!$T45,C$5&lt;='任务与甘特'!$U45),"■","")</x:f>
      </x:c>
      <x:c r="D44" s="56" t="str">
        <x:f>IF(AND(D$5&gt;='任务与甘特'!$T45,D$5&lt;='任务与甘特'!$U45),"■","")</x:f>
      </x:c>
      <x:c r="E44" s="56" t="str">
        <x:f>IF(AND(E$5&gt;='任务与甘特'!$T45,E$5&lt;='任务与甘特'!$U45),"■","")</x:f>
      </x:c>
      <x:c r="F44" s="56" t="str">
        <x:f>IF(AND(F$5&gt;='任务与甘特'!$T45,F$5&lt;='任务与甘特'!$U45),"■","")</x:f>
      </x:c>
      <x:c r="G44" s="56" t="str">
        <x:f>IF(AND(G$5&gt;='任务与甘特'!$T45,G$5&lt;='任务与甘特'!$U45),"■","")</x:f>
      </x:c>
      <x:c r="H44" s="56" t="str">
        <x:f>IF(AND(H$5&gt;='任务与甘特'!$T45,H$5&lt;='任务与甘特'!$U45),"■","")</x:f>
      </x:c>
      <x:c r="I44" s="56" t="str">
        <x:f>IF(AND(I$5&gt;='任务与甘特'!$T45,I$5&lt;='任务与甘特'!$U45),"■","")</x:f>
      </x:c>
      <x:c r="J44" s="56" t="str">
        <x:f>IF(AND(J$5&gt;='任务与甘特'!$T45,J$5&lt;='任务与甘特'!$U45),"■","")</x:f>
      </x:c>
      <x:c r="K44" s="56" t="str">
        <x:f>IF(AND(K$5&gt;='任务与甘特'!$T45,K$5&lt;='任务与甘特'!$U45),"■","")</x:f>
      </x:c>
      <x:c r="L44" s="56" t="str">
        <x:f>IF(AND(L$5&gt;='任务与甘特'!$T45,L$5&lt;='任务与甘特'!$U45),"■","")</x:f>
      </x:c>
      <x:c r="M44" s="56" t="str">
        <x:f>IF(AND(M$5&gt;='任务与甘特'!$T45,M$5&lt;='任务与甘特'!$U45),"■","")</x:f>
      </x:c>
      <x:c r="N44" s="56" t="str">
        <x:f>IF(AND(N$5&gt;='任务与甘特'!$T45,N$5&lt;='任务与甘特'!$U45),"■","")</x:f>
      </x:c>
      <x:c r="O44" s="56" t="str">
        <x:f>IF(AND(O$5&gt;='任务与甘特'!$T45,O$5&lt;='任务与甘特'!$U45),"■","")</x:f>
      </x:c>
      <x:c r="P44" s="56" t="str">
        <x:f>IF(AND(P$5&gt;='任务与甘特'!$T45,P$5&lt;='任务与甘特'!$U45),"■","")</x:f>
      </x:c>
      <x:c r="Q44" s="56" t="str">
        <x:f>IF(AND(Q$5&gt;='任务与甘特'!$T45,Q$5&lt;='任务与甘特'!$U45),"■","")</x:f>
      </x:c>
      <x:c r="R44" s="56" t="str">
        <x:f>IF(AND(R$5&gt;='任务与甘特'!$T45,R$5&lt;='任务与甘特'!$U45),"■","")</x:f>
      </x:c>
      <x:c r="S44" s="56" t="str">
        <x:f>IF(AND(S$5&gt;='任务与甘特'!$T45,S$5&lt;='任务与甘特'!$U45),"■","")</x:f>
      </x:c>
      <x:c r="T44" s="56" t="str">
        <x:f>IF(AND(T$5&gt;='任务与甘特'!$T45,T$5&lt;='任务与甘特'!$U45),"■","")</x:f>
      </x:c>
      <x:c r="U44" s="56" t="str">
        <x:f>IF(AND(U$5&gt;='任务与甘特'!$T45,U$5&lt;='任务与甘特'!$U45),"■","")</x:f>
      </x:c>
      <x:c r="V44" s="56" t="str">
        <x:f>IF(AND(V$5&gt;='任务与甘特'!$T45,V$5&lt;='任务与甘特'!$U45),"■","")</x:f>
      </x:c>
      <x:c r="W44" s="56" t="str">
        <x:f>IF(AND(W$5&gt;='任务与甘特'!$T45,W$5&lt;='任务与甘特'!$U45),"■","")</x:f>
      </x:c>
      <x:c r="X44" s="56" t="str">
        <x:f>IF(AND(X$5&gt;='任务与甘特'!$T45,X$5&lt;='任务与甘特'!$U45),"■","")</x:f>
      </x:c>
      <x:c r="Y44" s="56" t="str">
        <x:f>IF(AND(Y$5&gt;='任务与甘特'!$T45,Y$5&lt;='任务与甘特'!$U45),"■","")</x:f>
      </x:c>
      <x:c r="Z44" s="56" t="str">
        <x:f>IF(AND(Z$5&gt;='任务与甘特'!$T45,Z$5&lt;='任务与甘特'!$U45),"■","")</x:f>
      </x:c>
      <x:c r="AA44" s="56" t="str">
        <x:f>IF(AND(AA$5&gt;='任务与甘特'!$T45,AA$5&lt;='任务与甘特'!$U45),"■","")</x:f>
      </x:c>
      <x:c r="AB44" s="56" t="str">
        <x:f>IF(AND(AB$5&gt;='任务与甘特'!$T45,AB$5&lt;='任务与甘特'!$U45),"■","")</x:f>
      </x:c>
      <x:c r="AC44" s="56" t="str">
        <x:f>IF(AND(AC$5&gt;='任务与甘特'!$T45,AC$5&lt;='任务与甘特'!$U45),"■","")</x:f>
      </x:c>
      <x:c r="AD44" s="56" t="str">
        <x:f>IF(AND(AD$5&gt;='任务与甘特'!$T45,AD$5&lt;='任务与甘特'!$U45),"■","")</x:f>
      </x:c>
      <x:c r="AE44" s="56" t="str">
        <x:f>IF(AND(AE$5&gt;='任务与甘特'!$T45,AE$5&lt;='任务与甘特'!$U45),"■","")</x:f>
      </x:c>
      <x:c r="AF44" s="56" t="str">
        <x:f>IF(AND(AF$5&gt;='任务与甘特'!$T45,AF$5&lt;='任务与甘特'!$U45),"■","")</x:f>
      </x:c>
      <x:c r="AG44" s="56" t="str">
        <x:f>IF(AND(AG$5&gt;='任务与甘特'!$T45,AG$5&lt;='任务与甘特'!$U45),"■","")</x:f>
      </x:c>
      <x:c r="AH44" s="56" t="str">
        <x:f>IF(AND(AH$5&gt;='任务与甘特'!$T45,AH$5&lt;='任务与甘特'!$U45),"■","")</x:f>
      </x:c>
      <x:c r="AI44" s="56" t="str">
        <x:f>IF(AND(AI$5&gt;='任务与甘特'!$T45,AI$5&lt;='任务与甘特'!$U45),"■","")</x:f>
      </x:c>
      <x:c r="AJ44" s="56" t="str">
        <x:f>IF(AND(AJ$5&gt;='任务与甘特'!$T45,AJ$5&lt;='任务与甘特'!$U45),"■","")</x:f>
      </x:c>
      <x:c r="AK44" s="56" t="str">
        <x:f>IF(AND(AK$5&gt;='任务与甘特'!$T45,AK$5&lt;='任务与甘特'!$U45),"■","")</x:f>
      </x:c>
      <x:c r="AL44" s="56" t="str">
        <x:f>IF(AND(AL$5&gt;='任务与甘特'!$T45,AL$5&lt;='任务与甘特'!$U45),"■","")</x:f>
      </x:c>
      <x:c r="AM44" s="56" t="str">
        <x:f>IF(AND(AM$5&gt;='任务与甘特'!$T45,AM$5&lt;='任务与甘特'!$U45),"■","")</x:f>
        <x:v>■</x:v>
      </x:c>
      <x:c r="AN44" s="56" t="str">
        <x:f>IF(AND(AN$5&gt;='任务与甘特'!$T45,AN$5&lt;='任务与甘特'!$U45),"■","")</x:f>
        <x:v>■</x:v>
      </x:c>
      <x:c r="AO44" s="56" t="str">
        <x:f>IF(AND(AO$5&gt;='任务与甘特'!$T45,AO$5&lt;='任务与甘特'!$U45),"■","")</x:f>
      </x:c>
      <x:c r="AP44" s="56" t="str">
        <x:f>IF(AND(AP$5&gt;='任务与甘特'!$T45,AP$5&lt;='任务与甘特'!$U45),"■","")</x:f>
      </x:c>
    </x:row>
    <x:row r="45" ht="38" customHeight="1">
      <x:c r="A45" s="29" t="str">
        <x:f>'任务与甘特'!A46</x:f>
        <x:v>T5.3</x:v>
      </x:c>
      <x:c r="B45" s="29" t="str">
        <x:f>'任务与甘特'!B46</x:f>
        <x:v>编写操作与开发维护说明</x:v>
      </x:c>
      <x:c r="C45" s="56" t="str">
        <x:f>IF(AND(C$5&gt;='任务与甘特'!$T46,C$5&lt;='任务与甘特'!$U46),"■","")</x:f>
      </x:c>
      <x:c r="D45" s="56" t="str">
        <x:f>IF(AND(D$5&gt;='任务与甘特'!$T46,D$5&lt;='任务与甘特'!$U46),"■","")</x:f>
      </x:c>
      <x:c r="E45" s="56" t="str">
        <x:f>IF(AND(E$5&gt;='任务与甘特'!$T46,E$5&lt;='任务与甘特'!$U46),"■","")</x:f>
      </x:c>
      <x:c r="F45" s="56" t="str">
        <x:f>IF(AND(F$5&gt;='任务与甘特'!$T46,F$5&lt;='任务与甘特'!$U46),"■","")</x:f>
      </x:c>
      <x:c r="G45" s="56" t="str">
        <x:f>IF(AND(G$5&gt;='任务与甘特'!$T46,G$5&lt;='任务与甘特'!$U46),"■","")</x:f>
      </x:c>
      <x:c r="H45" s="56" t="str">
        <x:f>IF(AND(H$5&gt;='任务与甘特'!$T46,H$5&lt;='任务与甘特'!$U46),"■","")</x:f>
      </x:c>
      <x:c r="I45" s="56" t="str">
        <x:f>IF(AND(I$5&gt;='任务与甘特'!$T46,I$5&lt;='任务与甘特'!$U46),"■","")</x:f>
      </x:c>
      <x:c r="J45" s="56" t="str">
        <x:f>IF(AND(J$5&gt;='任务与甘特'!$T46,J$5&lt;='任务与甘特'!$U46),"■","")</x:f>
      </x:c>
      <x:c r="K45" s="56" t="str">
        <x:f>IF(AND(K$5&gt;='任务与甘特'!$T46,K$5&lt;='任务与甘特'!$U46),"■","")</x:f>
      </x:c>
      <x:c r="L45" s="56" t="str">
        <x:f>IF(AND(L$5&gt;='任务与甘特'!$T46,L$5&lt;='任务与甘特'!$U46),"■","")</x:f>
      </x:c>
      <x:c r="M45" s="56" t="str">
        <x:f>IF(AND(M$5&gt;='任务与甘特'!$T46,M$5&lt;='任务与甘特'!$U46),"■","")</x:f>
      </x:c>
      <x:c r="N45" s="56" t="str">
        <x:f>IF(AND(N$5&gt;='任务与甘特'!$T46,N$5&lt;='任务与甘特'!$U46),"■","")</x:f>
      </x:c>
      <x:c r="O45" s="56" t="str">
        <x:f>IF(AND(O$5&gt;='任务与甘特'!$T46,O$5&lt;='任务与甘特'!$U46),"■","")</x:f>
      </x:c>
      <x:c r="P45" s="56" t="str">
        <x:f>IF(AND(P$5&gt;='任务与甘特'!$T46,P$5&lt;='任务与甘特'!$U46),"■","")</x:f>
      </x:c>
      <x:c r="Q45" s="56" t="str">
        <x:f>IF(AND(Q$5&gt;='任务与甘特'!$T46,Q$5&lt;='任务与甘特'!$U46),"■","")</x:f>
      </x:c>
      <x:c r="R45" s="56" t="str">
        <x:f>IF(AND(R$5&gt;='任务与甘特'!$T46,R$5&lt;='任务与甘特'!$U46),"■","")</x:f>
      </x:c>
      <x:c r="S45" s="56" t="str">
        <x:f>IF(AND(S$5&gt;='任务与甘特'!$T46,S$5&lt;='任务与甘特'!$U46),"■","")</x:f>
      </x:c>
      <x:c r="T45" s="56" t="str">
        <x:f>IF(AND(T$5&gt;='任务与甘特'!$T46,T$5&lt;='任务与甘特'!$U46),"■","")</x:f>
      </x:c>
      <x:c r="U45" s="56" t="str">
        <x:f>IF(AND(U$5&gt;='任务与甘特'!$T46,U$5&lt;='任务与甘特'!$U46),"■","")</x:f>
      </x:c>
      <x:c r="V45" s="56" t="str">
        <x:f>IF(AND(V$5&gt;='任务与甘特'!$T46,V$5&lt;='任务与甘特'!$U46),"■","")</x:f>
      </x:c>
      <x:c r="W45" s="56" t="str">
        <x:f>IF(AND(W$5&gt;='任务与甘特'!$T46,W$5&lt;='任务与甘特'!$U46),"■","")</x:f>
      </x:c>
      <x:c r="X45" s="56" t="str">
        <x:f>IF(AND(X$5&gt;='任务与甘特'!$T46,X$5&lt;='任务与甘特'!$U46),"■","")</x:f>
      </x:c>
      <x:c r="Y45" s="56" t="str">
        <x:f>IF(AND(Y$5&gt;='任务与甘特'!$T46,Y$5&lt;='任务与甘特'!$U46),"■","")</x:f>
      </x:c>
      <x:c r="Z45" s="56" t="str">
        <x:f>IF(AND(Z$5&gt;='任务与甘特'!$T46,Z$5&lt;='任务与甘特'!$U46),"■","")</x:f>
      </x:c>
      <x:c r="AA45" s="56" t="str">
        <x:f>IF(AND(AA$5&gt;='任务与甘特'!$T46,AA$5&lt;='任务与甘特'!$U46),"■","")</x:f>
      </x:c>
      <x:c r="AB45" s="56" t="str">
        <x:f>IF(AND(AB$5&gt;='任务与甘特'!$T46,AB$5&lt;='任务与甘特'!$U46),"■","")</x:f>
      </x:c>
      <x:c r="AC45" s="56" t="str">
        <x:f>IF(AND(AC$5&gt;='任务与甘特'!$T46,AC$5&lt;='任务与甘特'!$U46),"■","")</x:f>
      </x:c>
      <x:c r="AD45" s="56" t="str">
        <x:f>IF(AND(AD$5&gt;='任务与甘特'!$T46,AD$5&lt;='任务与甘特'!$U46),"■","")</x:f>
      </x:c>
      <x:c r="AE45" s="56" t="str">
        <x:f>IF(AND(AE$5&gt;='任务与甘特'!$T46,AE$5&lt;='任务与甘特'!$U46),"■","")</x:f>
      </x:c>
      <x:c r="AF45" s="56" t="str">
        <x:f>IF(AND(AF$5&gt;='任务与甘特'!$T46,AF$5&lt;='任务与甘特'!$U46),"■","")</x:f>
      </x:c>
      <x:c r="AG45" s="56" t="str">
        <x:f>IF(AND(AG$5&gt;='任务与甘特'!$T46,AG$5&lt;='任务与甘特'!$U46),"■","")</x:f>
        <x:v>■</x:v>
      </x:c>
      <x:c r="AH45" s="56" t="str">
        <x:f>IF(AND(AH$5&gt;='任务与甘特'!$T46,AH$5&lt;='任务与甘特'!$U46),"■","")</x:f>
        <x:v>■</x:v>
      </x:c>
      <x:c r="AI45" s="56" t="str">
        <x:f>IF(AND(AI$5&gt;='任务与甘特'!$T46,AI$5&lt;='任务与甘特'!$U46),"■","")</x:f>
        <x:v>■</x:v>
      </x:c>
      <x:c r="AJ45" s="56" t="str">
        <x:f>IF(AND(AJ$5&gt;='任务与甘特'!$T46,AJ$5&lt;='任务与甘特'!$U46),"■","")</x:f>
        <x:v>■</x:v>
      </x:c>
      <x:c r="AK45" s="56" t="str">
        <x:f>IF(AND(AK$5&gt;='任务与甘特'!$T46,AK$5&lt;='任务与甘特'!$U46),"■","")</x:f>
      </x:c>
      <x:c r="AL45" s="56" t="str">
        <x:f>IF(AND(AL$5&gt;='任务与甘特'!$T46,AL$5&lt;='任务与甘特'!$U46),"■","")</x:f>
      </x:c>
      <x:c r="AM45" s="56" t="str">
        <x:f>IF(AND(AM$5&gt;='任务与甘特'!$T46,AM$5&lt;='任务与甘特'!$U46),"■","")</x:f>
      </x:c>
      <x:c r="AN45" s="56" t="str">
        <x:f>IF(AND(AN$5&gt;='任务与甘特'!$T46,AN$5&lt;='任务与甘特'!$U46),"■","")</x:f>
      </x:c>
      <x:c r="AO45" s="56" t="str">
        <x:f>IF(AND(AO$5&gt;='任务与甘特'!$T46,AO$5&lt;='任务与甘特'!$U46),"■","")</x:f>
      </x:c>
      <x:c r="AP45" s="56" t="str">
        <x:f>IF(AND(AP$5&gt;='任务与甘特'!$T46,AP$5&lt;='任务与甘特'!$U46),"■","")</x:f>
      </x:c>
    </x:row>
    <x:row r="46" ht="38" customHeight="1">
      <x:c r="A46" s="29" t="str">
        <x:f>'任务与甘特'!A47</x:f>
        <x:v>T5.4</x:v>
      </x:c>
      <x:c r="B46" s="29" t="str">
        <x:f>'任务与甘特'!B47</x:f>
        <x:v>安排操作培训与演示</x:v>
      </x:c>
      <x:c r="C46" s="56" t="str">
        <x:f>IF(AND(C$5&gt;='任务与甘特'!$T47,C$5&lt;='任务与甘特'!$U47),"■","")</x:f>
      </x:c>
      <x:c r="D46" s="56" t="str">
        <x:f>IF(AND(D$5&gt;='任务与甘特'!$T47,D$5&lt;='任务与甘特'!$U47),"■","")</x:f>
      </x:c>
      <x:c r="E46" s="56" t="str">
        <x:f>IF(AND(E$5&gt;='任务与甘特'!$T47,E$5&lt;='任务与甘特'!$U47),"■","")</x:f>
      </x:c>
      <x:c r="F46" s="56" t="str">
        <x:f>IF(AND(F$5&gt;='任务与甘特'!$T47,F$5&lt;='任务与甘特'!$U47),"■","")</x:f>
      </x:c>
      <x:c r="G46" s="56" t="str">
        <x:f>IF(AND(G$5&gt;='任务与甘特'!$T47,G$5&lt;='任务与甘特'!$U47),"■","")</x:f>
      </x:c>
      <x:c r="H46" s="56" t="str">
        <x:f>IF(AND(H$5&gt;='任务与甘特'!$T47,H$5&lt;='任务与甘特'!$U47),"■","")</x:f>
      </x:c>
      <x:c r="I46" s="56" t="str">
        <x:f>IF(AND(I$5&gt;='任务与甘特'!$T47,I$5&lt;='任务与甘特'!$U47),"■","")</x:f>
      </x:c>
      <x:c r="J46" s="56" t="str">
        <x:f>IF(AND(J$5&gt;='任务与甘特'!$T47,J$5&lt;='任务与甘特'!$U47),"■","")</x:f>
      </x:c>
      <x:c r="K46" s="56" t="str">
        <x:f>IF(AND(K$5&gt;='任务与甘特'!$T47,K$5&lt;='任务与甘特'!$U47),"■","")</x:f>
      </x:c>
      <x:c r="L46" s="56" t="str">
        <x:f>IF(AND(L$5&gt;='任务与甘特'!$T47,L$5&lt;='任务与甘特'!$U47),"■","")</x:f>
      </x:c>
      <x:c r="M46" s="56" t="str">
        <x:f>IF(AND(M$5&gt;='任务与甘特'!$T47,M$5&lt;='任务与甘特'!$U47),"■","")</x:f>
      </x:c>
      <x:c r="N46" s="56" t="str">
        <x:f>IF(AND(N$5&gt;='任务与甘特'!$T47,N$5&lt;='任务与甘特'!$U47),"■","")</x:f>
      </x:c>
      <x:c r="O46" s="56" t="str">
        <x:f>IF(AND(O$5&gt;='任务与甘特'!$T47,O$5&lt;='任务与甘特'!$U47),"■","")</x:f>
      </x:c>
      <x:c r="P46" s="56" t="str">
        <x:f>IF(AND(P$5&gt;='任务与甘特'!$T47,P$5&lt;='任务与甘特'!$U47),"■","")</x:f>
      </x:c>
      <x:c r="Q46" s="56" t="str">
        <x:f>IF(AND(Q$5&gt;='任务与甘特'!$T47,Q$5&lt;='任务与甘特'!$U47),"■","")</x:f>
      </x:c>
      <x:c r="R46" s="56" t="str">
        <x:f>IF(AND(R$5&gt;='任务与甘特'!$T47,R$5&lt;='任务与甘特'!$U47),"■","")</x:f>
      </x:c>
      <x:c r="S46" s="56" t="str">
        <x:f>IF(AND(S$5&gt;='任务与甘特'!$T47,S$5&lt;='任务与甘特'!$U47),"■","")</x:f>
      </x:c>
      <x:c r="T46" s="56" t="str">
        <x:f>IF(AND(T$5&gt;='任务与甘特'!$T47,T$5&lt;='任务与甘特'!$U47),"■","")</x:f>
      </x:c>
      <x:c r="U46" s="56" t="str">
        <x:f>IF(AND(U$5&gt;='任务与甘特'!$T47,U$5&lt;='任务与甘特'!$U47),"■","")</x:f>
      </x:c>
      <x:c r="V46" s="56" t="str">
        <x:f>IF(AND(V$5&gt;='任务与甘特'!$T47,V$5&lt;='任务与甘特'!$U47),"■","")</x:f>
      </x:c>
      <x:c r="W46" s="56" t="str">
        <x:f>IF(AND(W$5&gt;='任务与甘特'!$T47,W$5&lt;='任务与甘特'!$U47),"■","")</x:f>
      </x:c>
      <x:c r="X46" s="56" t="str">
        <x:f>IF(AND(X$5&gt;='任务与甘特'!$T47,X$5&lt;='任务与甘特'!$U47),"■","")</x:f>
      </x:c>
      <x:c r="Y46" s="56" t="str">
        <x:f>IF(AND(Y$5&gt;='任务与甘特'!$T47,Y$5&lt;='任务与甘特'!$U47),"■","")</x:f>
      </x:c>
      <x:c r="Z46" s="56" t="str">
        <x:f>IF(AND(Z$5&gt;='任务与甘特'!$T47,Z$5&lt;='任务与甘特'!$U47),"■","")</x:f>
      </x:c>
      <x:c r="AA46" s="56" t="str">
        <x:f>IF(AND(AA$5&gt;='任务与甘特'!$T47,AA$5&lt;='任务与甘特'!$U47),"■","")</x:f>
      </x:c>
      <x:c r="AB46" s="56" t="str">
        <x:f>IF(AND(AB$5&gt;='任务与甘特'!$T47,AB$5&lt;='任务与甘特'!$U47),"■","")</x:f>
      </x:c>
      <x:c r="AC46" s="56" t="str">
        <x:f>IF(AND(AC$5&gt;='任务与甘特'!$T47,AC$5&lt;='任务与甘特'!$U47),"■","")</x:f>
      </x:c>
      <x:c r="AD46" s="56" t="str">
        <x:f>IF(AND(AD$5&gt;='任务与甘特'!$T47,AD$5&lt;='任务与甘特'!$U47),"■","")</x:f>
      </x:c>
      <x:c r="AE46" s="56" t="str">
        <x:f>IF(AND(AE$5&gt;='任务与甘特'!$T47,AE$5&lt;='任务与甘特'!$U47),"■","")</x:f>
      </x:c>
      <x:c r="AF46" s="56" t="str">
        <x:f>IF(AND(AF$5&gt;='任务与甘特'!$T47,AF$5&lt;='任务与甘特'!$U47),"■","")</x:f>
      </x:c>
      <x:c r="AG46" s="56" t="str">
        <x:f>IF(AND(AG$5&gt;='任务与甘特'!$T47,AG$5&lt;='任务与甘特'!$U47),"■","")</x:f>
      </x:c>
      <x:c r="AH46" s="56" t="str">
        <x:f>IF(AND(AH$5&gt;='任务与甘特'!$T47,AH$5&lt;='任务与甘特'!$U47),"■","")</x:f>
      </x:c>
      <x:c r="AI46" s="56" t="str">
        <x:f>IF(AND(AI$5&gt;='任务与甘特'!$T47,AI$5&lt;='任务与甘特'!$U47),"■","")</x:f>
      </x:c>
      <x:c r="AJ46" s="56" t="str">
        <x:f>IF(AND(AJ$5&gt;='任务与甘特'!$T47,AJ$5&lt;='任务与甘特'!$U47),"■","")</x:f>
      </x:c>
      <x:c r="AK46" s="56" t="str">
        <x:f>IF(AND(AK$5&gt;='任务与甘特'!$T47,AK$5&lt;='任务与甘特'!$U47),"■","")</x:f>
      </x:c>
      <x:c r="AL46" s="56" t="str">
        <x:f>IF(AND(AL$5&gt;='任务与甘特'!$T47,AL$5&lt;='任务与甘特'!$U47),"■","")</x:f>
      </x:c>
      <x:c r="AM46" s="56" t="str">
        <x:f>IF(AND(AM$5&gt;='任务与甘特'!$T47,AM$5&lt;='任务与甘特'!$U47),"■","")</x:f>
      </x:c>
      <x:c r="AN46" s="56" t="str">
        <x:f>IF(AND(AN$5&gt;='任务与甘特'!$T47,AN$5&lt;='任务与甘特'!$U47),"■","")</x:f>
      </x:c>
      <x:c r="AO46" s="56" t="str">
        <x:f>IF(AND(AO$5&gt;='任务与甘特'!$T47,AO$5&lt;='任务与甘特'!$U47),"■","")</x:f>
        <x:v>■</x:v>
      </x:c>
      <x:c r="AP46" s="56" t="str">
        <x:f>IF(AND(AP$5&gt;='任务与甘特'!$T47,AP$5&lt;='任务与甘特'!$U47),"■","")</x:f>
      </x:c>
    </x:row>
    <x:row r="47" ht="38" customHeight="1">
      <x:c r="A47" s="29" t="str">
        <x:f>'任务与甘特'!A48</x:f>
        <x:v>T5.5</x:v>
      </x:c>
      <x:c r="B47" s="29" t="str">
        <x:f>'任务与甘特'!B48</x:f>
        <x:v>整理代码、配置和验证证据</x:v>
      </x:c>
      <x:c r="C47" s="56" t="str">
        <x:f>IF(AND(C$5&gt;='任务与甘特'!$T48,C$5&lt;='任务与甘特'!$U48),"■","")</x:f>
      </x:c>
      <x:c r="D47" s="56" t="str">
        <x:f>IF(AND(D$5&gt;='任务与甘特'!$T48,D$5&lt;='任务与甘特'!$U48),"■","")</x:f>
      </x:c>
      <x:c r="E47" s="56" t="str">
        <x:f>IF(AND(E$5&gt;='任务与甘特'!$T48,E$5&lt;='任务与甘特'!$U48),"■","")</x:f>
      </x:c>
      <x:c r="F47" s="56" t="str">
        <x:f>IF(AND(F$5&gt;='任务与甘特'!$T48,F$5&lt;='任务与甘特'!$U48),"■","")</x:f>
      </x:c>
      <x:c r="G47" s="56" t="str">
        <x:f>IF(AND(G$5&gt;='任务与甘特'!$T48,G$5&lt;='任务与甘特'!$U48),"■","")</x:f>
      </x:c>
      <x:c r="H47" s="56" t="str">
        <x:f>IF(AND(H$5&gt;='任务与甘特'!$T48,H$5&lt;='任务与甘特'!$U48),"■","")</x:f>
      </x:c>
      <x:c r="I47" s="56" t="str">
        <x:f>IF(AND(I$5&gt;='任务与甘特'!$T48,I$5&lt;='任务与甘特'!$U48),"■","")</x:f>
      </x:c>
      <x:c r="J47" s="56" t="str">
        <x:f>IF(AND(J$5&gt;='任务与甘特'!$T48,J$5&lt;='任务与甘特'!$U48),"■","")</x:f>
      </x:c>
      <x:c r="K47" s="56" t="str">
        <x:f>IF(AND(K$5&gt;='任务与甘特'!$T48,K$5&lt;='任务与甘特'!$U48),"■","")</x:f>
      </x:c>
      <x:c r="L47" s="56" t="str">
        <x:f>IF(AND(L$5&gt;='任务与甘特'!$T48,L$5&lt;='任务与甘特'!$U48),"■","")</x:f>
      </x:c>
      <x:c r="M47" s="56" t="str">
        <x:f>IF(AND(M$5&gt;='任务与甘特'!$T48,M$5&lt;='任务与甘特'!$U48),"■","")</x:f>
      </x:c>
      <x:c r="N47" s="56" t="str">
        <x:f>IF(AND(N$5&gt;='任务与甘特'!$T48,N$5&lt;='任务与甘特'!$U48),"■","")</x:f>
      </x:c>
      <x:c r="O47" s="56" t="str">
        <x:f>IF(AND(O$5&gt;='任务与甘特'!$T48,O$5&lt;='任务与甘特'!$U48),"■","")</x:f>
      </x:c>
      <x:c r="P47" s="56" t="str">
        <x:f>IF(AND(P$5&gt;='任务与甘特'!$T48,P$5&lt;='任务与甘特'!$U48),"■","")</x:f>
      </x:c>
      <x:c r="Q47" s="56" t="str">
        <x:f>IF(AND(Q$5&gt;='任务与甘特'!$T48,Q$5&lt;='任务与甘特'!$U48),"■","")</x:f>
      </x:c>
      <x:c r="R47" s="56" t="str">
        <x:f>IF(AND(R$5&gt;='任务与甘特'!$T48,R$5&lt;='任务与甘特'!$U48),"■","")</x:f>
      </x:c>
      <x:c r="S47" s="56" t="str">
        <x:f>IF(AND(S$5&gt;='任务与甘特'!$T48,S$5&lt;='任务与甘特'!$U48),"■","")</x:f>
      </x:c>
      <x:c r="T47" s="56" t="str">
        <x:f>IF(AND(T$5&gt;='任务与甘特'!$T48,T$5&lt;='任务与甘特'!$U48),"■","")</x:f>
      </x:c>
      <x:c r="U47" s="56" t="str">
        <x:f>IF(AND(U$5&gt;='任务与甘特'!$T48,U$5&lt;='任务与甘特'!$U48),"■","")</x:f>
      </x:c>
      <x:c r="V47" s="56" t="str">
        <x:f>IF(AND(V$5&gt;='任务与甘特'!$T48,V$5&lt;='任务与甘特'!$U48),"■","")</x:f>
      </x:c>
      <x:c r="W47" s="56" t="str">
        <x:f>IF(AND(W$5&gt;='任务与甘特'!$T48,W$5&lt;='任务与甘特'!$U48),"■","")</x:f>
      </x:c>
      <x:c r="X47" s="56" t="str">
        <x:f>IF(AND(X$5&gt;='任务与甘特'!$T48,X$5&lt;='任务与甘特'!$U48),"■","")</x:f>
      </x:c>
      <x:c r="Y47" s="56" t="str">
        <x:f>IF(AND(Y$5&gt;='任务与甘特'!$T48,Y$5&lt;='任务与甘特'!$U48),"■","")</x:f>
      </x:c>
      <x:c r="Z47" s="56" t="str">
        <x:f>IF(AND(Z$5&gt;='任务与甘特'!$T48,Z$5&lt;='任务与甘特'!$U48),"■","")</x:f>
      </x:c>
      <x:c r="AA47" s="56" t="str">
        <x:f>IF(AND(AA$5&gt;='任务与甘特'!$T48,AA$5&lt;='任务与甘特'!$U48),"■","")</x:f>
      </x:c>
      <x:c r="AB47" s="56" t="str">
        <x:f>IF(AND(AB$5&gt;='任务与甘特'!$T48,AB$5&lt;='任务与甘特'!$U48),"■","")</x:f>
      </x:c>
      <x:c r="AC47" s="56" t="str">
        <x:f>IF(AND(AC$5&gt;='任务与甘特'!$T48,AC$5&lt;='任务与甘特'!$U48),"■","")</x:f>
      </x:c>
      <x:c r="AD47" s="56" t="str">
        <x:f>IF(AND(AD$5&gt;='任务与甘特'!$T48,AD$5&lt;='任务与甘特'!$U48),"■","")</x:f>
      </x:c>
      <x:c r="AE47" s="56" t="str">
        <x:f>IF(AND(AE$5&gt;='任务与甘特'!$T48,AE$5&lt;='任务与甘特'!$U48),"■","")</x:f>
      </x:c>
      <x:c r="AF47" s="56" t="str">
        <x:f>IF(AND(AF$5&gt;='任务与甘特'!$T48,AF$5&lt;='任务与甘特'!$U48),"■","")</x:f>
      </x:c>
      <x:c r="AG47" s="56" t="str">
        <x:f>IF(AND(AG$5&gt;='任务与甘特'!$T48,AG$5&lt;='任务与甘特'!$U48),"■","")</x:f>
      </x:c>
      <x:c r="AH47" s="56" t="str">
        <x:f>IF(AND(AH$5&gt;='任务与甘特'!$T48,AH$5&lt;='任务与甘特'!$U48),"■","")</x:f>
      </x:c>
      <x:c r="AI47" s="56" t="str">
        <x:f>IF(AND(AI$5&gt;='任务与甘特'!$T48,AI$5&lt;='任务与甘特'!$U48),"■","")</x:f>
      </x:c>
      <x:c r="AJ47" s="56" t="str">
        <x:f>IF(AND(AJ$5&gt;='任务与甘特'!$T48,AJ$5&lt;='任务与甘特'!$U48),"■","")</x:f>
      </x:c>
      <x:c r="AK47" s="56" t="str">
        <x:f>IF(AND(AK$5&gt;='任务与甘特'!$T48,AK$5&lt;='任务与甘特'!$U48),"■","")</x:f>
      </x:c>
      <x:c r="AL47" s="56" t="str">
        <x:f>IF(AND(AL$5&gt;='任务与甘特'!$T48,AL$5&lt;='任务与甘特'!$U48),"■","")</x:f>
      </x:c>
      <x:c r="AM47" s="56" t="str">
        <x:f>IF(AND(AM$5&gt;='任务与甘特'!$T48,AM$5&lt;='任务与甘特'!$U48),"■","")</x:f>
        <x:v>■</x:v>
      </x:c>
      <x:c r="AN47" s="56" t="str">
        <x:f>IF(AND(AN$5&gt;='任务与甘特'!$T48,AN$5&lt;='任务与甘特'!$U48),"■","")</x:f>
        <x:v>■</x:v>
      </x:c>
      <x:c r="AO47" s="56" t="str">
        <x:f>IF(AND(AO$5&gt;='任务与甘特'!$T48,AO$5&lt;='任务与甘特'!$U48),"■","")</x:f>
      </x:c>
      <x:c r="AP47" s="56" t="str">
        <x:f>IF(AND(AP$5&gt;='任务与甘特'!$T48,AP$5&lt;='任务与甘特'!$U48),"■","")</x:f>
      </x:c>
    </x:row>
    <x:row r="48" ht="38" customHeight="1">
      <x:c r="A48" s="29" t="str">
        <x:f>'任务与甘特'!A49</x:f>
        <x:v>T5.6</x:v>
      </x:c>
      <x:c r="B48" s="29" t="str">
        <x:f>'任务与甘特'!B49</x:f>
        <x:v>完成最终项目验收</x:v>
      </x:c>
      <x:c r="C48" s="56" t="str">
        <x:f>IF(AND(C$5&gt;='任务与甘特'!$T49,C$5&lt;='任务与甘特'!$U49),"■","")</x:f>
      </x:c>
      <x:c r="D48" s="56" t="str">
        <x:f>IF(AND(D$5&gt;='任务与甘特'!$T49,D$5&lt;='任务与甘特'!$U49),"■","")</x:f>
      </x:c>
      <x:c r="E48" s="56" t="str">
        <x:f>IF(AND(E$5&gt;='任务与甘特'!$T49,E$5&lt;='任务与甘特'!$U49),"■","")</x:f>
      </x:c>
      <x:c r="F48" s="56" t="str">
        <x:f>IF(AND(F$5&gt;='任务与甘特'!$T49,F$5&lt;='任务与甘特'!$U49),"■","")</x:f>
      </x:c>
      <x:c r="G48" s="56" t="str">
        <x:f>IF(AND(G$5&gt;='任务与甘特'!$T49,G$5&lt;='任务与甘特'!$U49),"■","")</x:f>
      </x:c>
      <x:c r="H48" s="56" t="str">
        <x:f>IF(AND(H$5&gt;='任务与甘特'!$T49,H$5&lt;='任务与甘特'!$U49),"■","")</x:f>
      </x:c>
      <x:c r="I48" s="56" t="str">
        <x:f>IF(AND(I$5&gt;='任务与甘特'!$T49,I$5&lt;='任务与甘特'!$U49),"■","")</x:f>
      </x:c>
      <x:c r="J48" s="56" t="str">
        <x:f>IF(AND(J$5&gt;='任务与甘特'!$T49,J$5&lt;='任务与甘特'!$U49),"■","")</x:f>
      </x:c>
      <x:c r="K48" s="56" t="str">
        <x:f>IF(AND(K$5&gt;='任务与甘特'!$T49,K$5&lt;='任务与甘特'!$U49),"■","")</x:f>
      </x:c>
      <x:c r="L48" s="56" t="str">
        <x:f>IF(AND(L$5&gt;='任务与甘特'!$T49,L$5&lt;='任务与甘特'!$U49),"■","")</x:f>
      </x:c>
      <x:c r="M48" s="56" t="str">
        <x:f>IF(AND(M$5&gt;='任务与甘特'!$T49,M$5&lt;='任务与甘特'!$U49),"■","")</x:f>
      </x:c>
      <x:c r="N48" s="56" t="str">
        <x:f>IF(AND(N$5&gt;='任务与甘特'!$T49,N$5&lt;='任务与甘特'!$U49),"■","")</x:f>
      </x:c>
      <x:c r="O48" s="56" t="str">
        <x:f>IF(AND(O$5&gt;='任务与甘特'!$T49,O$5&lt;='任务与甘特'!$U49),"■","")</x:f>
      </x:c>
      <x:c r="P48" s="56" t="str">
        <x:f>IF(AND(P$5&gt;='任务与甘特'!$T49,P$5&lt;='任务与甘特'!$U49),"■","")</x:f>
      </x:c>
      <x:c r="Q48" s="56" t="str">
        <x:f>IF(AND(Q$5&gt;='任务与甘特'!$T49,Q$5&lt;='任务与甘特'!$U49),"■","")</x:f>
      </x:c>
      <x:c r="R48" s="56" t="str">
        <x:f>IF(AND(R$5&gt;='任务与甘特'!$T49,R$5&lt;='任务与甘特'!$U49),"■","")</x:f>
      </x:c>
      <x:c r="S48" s="56" t="str">
        <x:f>IF(AND(S$5&gt;='任务与甘特'!$T49,S$5&lt;='任务与甘特'!$U49),"■","")</x:f>
      </x:c>
      <x:c r="T48" s="56" t="str">
        <x:f>IF(AND(T$5&gt;='任务与甘特'!$T49,T$5&lt;='任务与甘特'!$U49),"■","")</x:f>
      </x:c>
      <x:c r="U48" s="56" t="str">
        <x:f>IF(AND(U$5&gt;='任务与甘特'!$T49,U$5&lt;='任务与甘特'!$U49),"■","")</x:f>
      </x:c>
      <x:c r="V48" s="56" t="str">
        <x:f>IF(AND(V$5&gt;='任务与甘特'!$T49,V$5&lt;='任务与甘特'!$U49),"■","")</x:f>
      </x:c>
      <x:c r="W48" s="56" t="str">
        <x:f>IF(AND(W$5&gt;='任务与甘特'!$T49,W$5&lt;='任务与甘特'!$U49),"■","")</x:f>
      </x:c>
      <x:c r="X48" s="56" t="str">
        <x:f>IF(AND(X$5&gt;='任务与甘特'!$T49,X$5&lt;='任务与甘特'!$U49),"■","")</x:f>
      </x:c>
      <x:c r="Y48" s="56" t="str">
        <x:f>IF(AND(Y$5&gt;='任务与甘特'!$T49,Y$5&lt;='任务与甘特'!$U49),"■","")</x:f>
      </x:c>
      <x:c r="Z48" s="56" t="str">
        <x:f>IF(AND(Z$5&gt;='任务与甘特'!$T49,Z$5&lt;='任务与甘特'!$U49),"■","")</x:f>
      </x:c>
      <x:c r="AA48" s="56" t="str">
        <x:f>IF(AND(AA$5&gt;='任务与甘特'!$T49,AA$5&lt;='任务与甘特'!$U49),"■","")</x:f>
      </x:c>
      <x:c r="AB48" s="56" t="str">
        <x:f>IF(AND(AB$5&gt;='任务与甘特'!$T49,AB$5&lt;='任务与甘特'!$U49),"■","")</x:f>
      </x:c>
      <x:c r="AC48" s="56" t="str">
        <x:f>IF(AND(AC$5&gt;='任务与甘特'!$T49,AC$5&lt;='任务与甘特'!$U49),"■","")</x:f>
      </x:c>
      <x:c r="AD48" s="56" t="str">
        <x:f>IF(AND(AD$5&gt;='任务与甘特'!$T49,AD$5&lt;='任务与甘特'!$U49),"■","")</x:f>
      </x:c>
      <x:c r="AE48" s="56" t="str">
        <x:f>IF(AND(AE$5&gt;='任务与甘特'!$T49,AE$5&lt;='任务与甘特'!$U49),"■","")</x:f>
      </x:c>
      <x:c r="AF48" s="56" t="str">
        <x:f>IF(AND(AF$5&gt;='任务与甘特'!$T49,AF$5&lt;='任务与甘特'!$U49),"■","")</x:f>
      </x:c>
      <x:c r="AG48" s="56" t="str">
        <x:f>IF(AND(AG$5&gt;='任务与甘特'!$T49,AG$5&lt;='任务与甘特'!$U49),"■","")</x:f>
      </x:c>
      <x:c r="AH48" s="56" t="str">
        <x:f>IF(AND(AH$5&gt;='任务与甘特'!$T49,AH$5&lt;='任务与甘特'!$U49),"■","")</x:f>
      </x:c>
      <x:c r="AI48" s="56" t="str">
        <x:f>IF(AND(AI$5&gt;='任务与甘特'!$T49,AI$5&lt;='任务与甘特'!$U49),"■","")</x:f>
      </x:c>
      <x:c r="AJ48" s="56" t="str">
        <x:f>IF(AND(AJ$5&gt;='任务与甘特'!$T49,AJ$5&lt;='任务与甘特'!$U49),"■","")</x:f>
      </x:c>
      <x:c r="AK48" s="56" t="str">
        <x:f>IF(AND(AK$5&gt;='任务与甘特'!$T49,AK$5&lt;='任务与甘特'!$U49),"■","")</x:f>
      </x:c>
      <x:c r="AL48" s="56" t="str">
        <x:f>IF(AND(AL$5&gt;='任务与甘特'!$T49,AL$5&lt;='任务与甘特'!$U49),"■","")</x:f>
      </x:c>
      <x:c r="AM48" s="56" t="str">
        <x:f>IF(AND(AM$5&gt;='任务与甘特'!$T49,AM$5&lt;='任务与甘特'!$U49),"■","")</x:f>
      </x:c>
      <x:c r="AN48" s="56" t="str">
        <x:f>IF(AND(AN$5&gt;='任务与甘特'!$T49,AN$5&lt;='任务与甘特'!$U49),"■","")</x:f>
      </x:c>
      <x:c r="AO48" s="56" t="str">
        <x:f>IF(AND(AO$5&gt;='任务与甘特'!$T49,AO$5&lt;='任务与甘特'!$U49),"■","")</x:f>
      </x:c>
      <x:c r="AP48" s="56" t="str">
        <x:f>IF(AND(AP$5&gt;='任务与甘特'!$T49,AP$5&lt;='任务与甘特'!$U49),"■","")</x:f>
        <x:v>■</x:v>
      </x:c>
    </x:row>
    <x:row r="49" ht="38" customHeight="1">
      <x:c r="A49" s="29" t="str">
        <x:f>'任务与甘特'!A50</x:f>
        <x:v>T5.7</x:v>
      </x:c>
      <x:c r="B49" s="29" t="str">
        <x:f>'任务与甘特'!B50</x:f>
        <x:v>汇总8周模拟的最终项目计划</x:v>
      </x:c>
      <x:c r="C49" s="56" t="str">
        <x:f>IF(AND(C$5&gt;='任务与甘特'!$T50,C$5&lt;='任务与甘特'!$U50),"■","")</x:f>
      </x:c>
      <x:c r="D49" s="56" t="str">
        <x:f>IF(AND(D$5&gt;='任务与甘特'!$T50,D$5&lt;='任务与甘特'!$U50),"■","")</x:f>
      </x:c>
      <x:c r="E49" s="56" t="str">
        <x:f>IF(AND(E$5&gt;='任务与甘特'!$T50,E$5&lt;='任务与甘特'!$U50),"■","")</x:f>
      </x:c>
      <x:c r="F49" s="56" t="str">
        <x:f>IF(AND(F$5&gt;='任务与甘特'!$T50,F$5&lt;='任务与甘特'!$U50),"■","")</x:f>
      </x:c>
      <x:c r="G49" s="56" t="str">
        <x:f>IF(AND(G$5&gt;='任务与甘特'!$T50,G$5&lt;='任务与甘特'!$U50),"■","")</x:f>
      </x:c>
      <x:c r="H49" s="56" t="str">
        <x:f>IF(AND(H$5&gt;='任务与甘特'!$T50,H$5&lt;='任务与甘特'!$U50),"■","")</x:f>
      </x:c>
      <x:c r="I49" s="56" t="str">
        <x:f>IF(AND(I$5&gt;='任务与甘特'!$T50,I$5&lt;='任务与甘特'!$U50),"■","")</x:f>
      </x:c>
      <x:c r="J49" s="56" t="str">
        <x:f>IF(AND(J$5&gt;='任务与甘特'!$T50,J$5&lt;='任务与甘特'!$U50),"■","")</x:f>
      </x:c>
      <x:c r="K49" s="56" t="str">
        <x:f>IF(AND(K$5&gt;='任务与甘特'!$T50,K$5&lt;='任务与甘特'!$U50),"■","")</x:f>
      </x:c>
      <x:c r="L49" s="56" t="str">
        <x:f>IF(AND(L$5&gt;='任务与甘特'!$T50,L$5&lt;='任务与甘特'!$U50),"■","")</x:f>
      </x:c>
      <x:c r="M49" s="56" t="str">
        <x:f>IF(AND(M$5&gt;='任务与甘特'!$T50,M$5&lt;='任务与甘特'!$U50),"■","")</x:f>
      </x:c>
      <x:c r="N49" s="56" t="str">
        <x:f>IF(AND(N$5&gt;='任务与甘特'!$T50,N$5&lt;='任务与甘特'!$U50),"■","")</x:f>
      </x:c>
      <x:c r="O49" s="56" t="str">
        <x:f>IF(AND(O$5&gt;='任务与甘特'!$T50,O$5&lt;='任务与甘特'!$U50),"■","")</x:f>
      </x:c>
      <x:c r="P49" s="56" t="str">
        <x:f>IF(AND(P$5&gt;='任务与甘特'!$T50,P$5&lt;='任务与甘特'!$U50),"■","")</x:f>
      </x:c>
      <x:c r="Q49" s="56" t="str">
        <x:f>IF(AND(Q$5&gt;='任务与甘特'!$T50,Q$5&lt;='任务与甘特'!$U50),"■","")</x:f>
      </x:c>
      <x:c r="R49" s="56" t="str">
        <x:f>IF(AND(R$5&gt;='任务与甘特'!$T50,R$5&lt;='任务与甘特'!$U50),"■","")</x:f>
      </x:c>
      <x:c r="S49" s="56" t="str">
        <x:f>IF(AND(S$5&gt;='任务与甘特'!$T50,S$5&lt;='任务与甘特'!$U50),"■","")</x:f>
      </x:c>
      <x:c r="T49" s="56" t="str">
        <x:f>IF(AND(T$5&gt;='任务与甘特'!$T50,T$5&lt;='任务与甘特'!$U50),"■","")</x:f>
      </x:c>
      <x:c r="U49" s="56" t="str">
        <x:f>IF(AND(U$5&gt;='任务与甘特'!$T50,U$5&lt;='任务与甘特'!$U50),"■","")</x:f>
      </x:c>
      <x:c r="V49" s="56" t="str">
        <x:f>IF(AND(V$5&gt;='任务与甘特'!$T50,V$5&lt;='任务与甘特'!$U50),"■","")</x:f>
      </x:c>
      <x:c r="W49" s="56" t="str">
        <x:f>IF(AND(W$5&gt;='任务与甘特'!$T50,W$5&lt;='任务与甘特'!$U50),"■","")</x:f>
      </x:c>
      <x:c r="X49" s="56" t="str">
        <x:f>IF(AND(X$5&gt;='任务与甘特'!$T50,X$5&lt;='任务与甘特'!$U50),"■","")</x:f>
      </x:c>
      <x:c r="Y49" s="56" t="str">
        <x:f>IF(AND(Y$5&gt;='任务与甘特'!$T50,Y$5&lt;='任务与甘特'!$U50),"■","")</x:f>
      </x:c>
      <x:c r="Z49" s="56" t="str">
        <x:f>IF(AND(Z$5&gt;='任务与甘特'!$T50,Z$5&lt;='任务与甘特'!$U50),"■","")</x:f>
      </x:c>
      <x:c r="AA49" s="56" t="str">
        <x:f>IF(AND(AA$5&gt;='任务与甘特'!$T50,AA$5&lt;='任务与甘特'!$U50),"■","")</x:f>
      </x:c>
      <x:c r="AB49" s="56" t="str">
        <x:f>IF(AND(AB$5&gt;='任务与甘特'!$T50,AB$5&lt;='任务与甘特'!$U50),"■","")</x:f>
      </x:c>
      <x:c r="AC49" s="56" t="str">
        <x:f>IF(AND(AC$5&gt;='任务与甘特'!$T50,AC$5&lt;='任务与甘特'!$U50),"■","")</x:f>
      </x:c>
      <x:c r="AD49" s="56" t="str">
        <x:f>IF(AND(AD$5&gt;='任务与甘特'!$T50,AD$5&lt;='任务与甘特'!$U50),"■","")</x:f>
      </x:c>
      <x:c r="AE49" s="56" t="str">
        <x:f>IF(AND(AE$5&gt;='任务与甘特'!$T50,AE$5&lt;='任务与甘特'!$U50),"■","")</x:f>
      </x:c>
      <x:c r="AF49" s="56" t="str">
        <x:f>IF(AND(AF$5&gt;='任务与甘特'!$T50,AF$5&lt;='任务与甘特'!$U50),"■","")</x:f>
      </x:c>
      <x:c r="AG49" s="56" t="str">
        <x:f>IF(AND(AG$5&gt;='任务与甘特'!$T50,AG$5&lt;='任务与甘特'!$U50),"■","")</x:f>
      </x:c>
      <x:c r="AH49" s="56" t="str">
        <x:f>IF(AND(AH$5&gt;='任务与甘特'!$T50,AH$5&lt;='任务与甘特'!$U50),"■","")</x:f>
      </x:c>
      <x:c r="AI49" s="56" t="str">
        <x:f>IF(AND(AI$5&gt;='任务与甘特'!$T50,AI$5&lt;='任务与甘特'!$U50),"■","")</x:f>
      </x:c>
      <x:c r="AJ49" s="56" t="str">
        <x:f>IF(AND(AJ$5&gt;='任务与甘特'!$T50,AJ$5&lt;='任务与甘特'!$U50),"■","")</x:f>
      </x:c>
      <x:c r="AK49" s="56" t="str">
        <x:f>IF(AND(AK$5&gt;='任务与甘特'!$T50,AK$5&lt;='任务与甘特'!$U50),"■","")</x:f>
      </x:c>
      <x:c r="AL49" s="56" t="str">
        <x:f>IF(AND(AL$5&gt;='任务与甘特'!$T50,AL$5&lt;='任务与甘特'!$U50),"■","")</x:f>
      </x:c>
      <x:c r="AM49" s="56" t="str">
        <x:f>IF(AND(AM$5&gt;='任务与甘特'!$T50,AM$5&lt;='任务与甘特'!$U50),"■","")</x:f>
      </x:c>
      <x:c r="AN49" s="56" t="str">
        <x:f>IF(AND(AN$5&gt;='任务与甘特'!$T50,AN$5&lt;='任务与甘特'!$U50),"■","")</x:f>
      </x:c>
      <x:c r="AO49" s="56" t="str">
        <x:f>IF(AND(AO$5&gt;='任务与甘特'!$T50,AO$5&lt;='任务与甘特'!$U50),"■","")</x:f>
      </x:c>
      <x:c r="AP49" s="56" t="str">
        <x:f>IF(AND(AP$5&gt;='任务与甘特'!$T50,AP$5&lt;='任务与甘特'!$U50),"■","")</x:f>
        <x:v>■</x:v>
      </x:c>
    </x:row>
  </x:sheetData>
  <x:mergeCells>
    <x:mergeCell ref="C4:G4"/>
    <x:mergeCell ref="H4:L4"/>
    <x:mergeCell ref="M4:Q4"/>
    <x:mergeCell ref="R4:V4"/>
    <x:mergeCell ref="W4:AA4"/>
    <x:mergeCell ref="AB4:AF4"/>
    <x:mergeCell ref="AG4:AK4"/>
    <x:mergeCell ref="AL4:AP4"/>
  </x:mergeCells>
  <x:pageMargins left="0.7" right="0.7" top="0.75" bottom="0.75" header="0.3" footer="0.3"/>
</x:worksheet>
</file>